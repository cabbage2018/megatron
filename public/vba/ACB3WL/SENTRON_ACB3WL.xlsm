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megatron\public\vba\ACB3WL\"/>
    </mc:Choice>
  </mc:AlternateContent>
  <xr:revisionPtr revIDLastSave="0" documentId="13_ncr:1_{31FA23DC-622C-45F4-8947-875FA7CB6F05}" xr6:coauthVersionLast="47" xr6:coauthVersionMax="47" xr10:uidLastSave="{00000000-0000-0000-0000-000000000000}"/>
  <bookViews>
    <workbookView xWindow="1050" yWindow="-120" windowWidth="27870" windowHeight="18240" activeTab="4" xr2:uid="{87E28EF7-0EC5-4574-B7D2-92C3F63D3EFB}"/>
  </bookViews>
  <sheets>
    <sheet name="ACB125" sheetId="1" r:id="rId1"/>
    <sheet name="space(System Manual07 2011)" sheetId="2" r:id="rId2"/>
    <sheet name="decode" sheetId="3" r:id="rId3"/>
    <sheet name="space(03 2020)" sheetId="4" r:id="rId4"/>
    <sheet name="spac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1" i="5" l="1"/>
  <c r="E30" i="5"/>
  <c r="E29" i="5"/>
  <c r="E28" i="5"/>
  <c r="E27" i="5"/>
  <c r="E26" i="5"/>
  <c r="E32" i="5" s="1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1" i="5"/>
  <c r="E32" i="4"/>
  <c r="E31" i="4"/>
  <c r="E29" i="4"/>
  <c r="E24" i="4"/>
  <c r="E25" i="4"/>
  <c r="E21" i="4"/>
  <c r="E18" i="4"/>
  <c r="E17" i="4"/>
  <c r="E16" i="4"/>
  <c r="E7" i="4"/>
  <c r="E30" i="4"/>
  <c r="E28" i="4"/>
  <c r="E27" i="4"/>
  <c r="E26" i="4"/>
  <c r="E23" i="4"/>
  <c r="E22" i="4"/>
  <c r="E20" i="4"/>
  <c r="E19" i="4"/>
  <c r="E15" i="4"/>
  <c r="E14" i="4"/>
  <c r="E13" i="4"/>
  <c r="E12" i="4"/>
  <c r="E11" i="4"/>
  <c r="E10" i="4"/>
  <c r="E9" i="4"/>
  <c r="E8" i="4"/>
  <c r="E33" i="4" s="1"/>
  <c r="E6" i="4"/>
  <c r="E5" i="4"/>
  <c r="E4" i="4"/>
  <c r="E3" i="4"/>
  <c r="E2" i="4"/>
  <c r="G15" i="3"/>
  <c r="G16" i="3" s="1"/>
  <c r="G17" i="3" s="1"/>
  <c r="G18" i="3" s="1"/>
  <c r="G19" i="3" s="1"/>
  <c r="G20" i="3" s="1"/>
  <c r="G21" i="3" s="1"/>
  <c r="G22" i="3" s="1"/>
  <c r="G23" i="3" s="1"/>
  <c r="G237" i="3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E1546" i="3"/>
  <c r="E1547" i="3" s="1"/>
  <c r="E1548" i="3" s="1"/>
  <c r="E1549" i="3" s="1"/>
  <c r="E1550" i="3" s="1"/>
  <c r="E1551" i="3" s="1"/>
  <c r="E1552" i="3" s="1"/>
  <c r="E1553" i="3" s="1"/>
  <c r="E1554" i="3" s="1"/>
  <c r="E1555" i="3" s="1"/>
  <c r="E1556" i="3" s="1"/>
  <c r="E1557" i="3" s="1"/>
  <c r="E1558" i="3" s="1"/>
  <c r="E1533" i="3"/>
  <c r="E1534" i="3" s="1"/>
  <c r="E1535" i="3" s="1"/>
  <c r="E1536" i="3" s="1"/>
  <c r="E1537" i="3" s="1"/>
  <c r="E1519" i="3"/>
  <c r="E1520" i="3" s="1"/>
  <c r="E1521" i="3" s="1"/>
  <c r="E1522" i="3" s="1"/>
  <c r="E1523" i="3" s="1"/>
  <c r="E1524" i="3" s="1"/>
  <c r="E1475" i="3"/>
  <c r="E1476" i="3" s="1"/>
  <c r="E1477" i="3" s="1"/>
  <c r="E1478" i="3" s="1"/>
  <c r="E1479" i="3" s="1"/>
  <c r="E1480" i="3" s="1"/>
  <c r="E1481" i="3" s="1"/>
  <c r="E1482" i="3" s="1"/>
  <c r="E1483" i="3" s="1"/>
  <c r="E1233" i="3"/>
  <c r="E1234" i="3" s="1"/>
  <c r="E1235" i="3" s="1"/>
  <c r="E1236" i="3" s="1"/>
  <c r="E1237" i="3" s="1"/>
  <c r="E1238" i="3" s="1"/>
  <c r="E1239" i="3" s="1"/>
  <c r="E1240" i="3" s="1"/>
  <c r="E1241" i="3" s="1"/>
  <c r="E1242" i="3" s="1"/>
  <c r="E1243" i="3" s="1"/>
  <c r="G147" i="3"/>
  <c r="G148" i="3" s="1"/>
  <c r="G149" i="3" s="1"/>
  <c r="G150" i="3" s="1"/>
  <c r="G151" i="3" s="1"/>
  <c r="G152" i="3" s="1"/>
  <c r="G153" i="3" s="1"/>
  <c r="G154" i="3" s="1"/>
  <c r="G155" i="3" s="1"/>
  <c r="G157" i="3" s="1"/>
  <c r="G115" i="3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E1246" i="3"/>
  <c r="E1247" i="3" s="1"/>
  <c r="E1248" i="3" s="1"/>
  <c r="G93" i="3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71" i="3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E1595" i="3" l="1"/>
  <c r="E1596" i="3" s="1"/>
  <c r="E1597" i="3" s="1"/>
  <c r="E1598" i="3" s="1"/>
  <c r="E1599" i="3" s="1"/>
  <c r="E1568" i="3" l="1"/>
  <c r="E1569" i="3" s="1"/>
  <c r="E1570" i="3" s="1"/>
  <c r="E1571" i="3" s="1"/>
  <c r="E1572" i="3" s="1"/>
  <c r="E1573" i="3" s="1"/>
  <c r="E1574" i="3" s="1"/>
  <c r="E1271" i="3" l="1"/>
  <c r="E1272" i="3" s="1"/>
  <c r="E1273" i="3" s="1"/>
  <c r="E1274" i="3" s="1"/>
  <c r="E1275" i="3" s="1"/>
  <c r="E1276" i="3" s="1"/>
  <c r="E1277" i="3" s="1"/>
  <c r="E1409" i="3"/>
  <c r="E1410" i="3" s="1"/>
  <c r="E1411" i="3" s="1"/>
  <c r="E1412" i="3" s="1"/>
  <c r="E1413" i="3" s="1"/>
  <c r="E1414" i="3" s="1"/>
  <c r="E1415" i="3" s="1"/>
  <c r="E1374" i="3"/>
  <c r="E1375" i="3" s="1"/>
  <c r="E1376" i="3" s="1"/>
  <c r="E1377" i="3" s="1"/>
  <c r="E1378" i="3" s="1"/>
  <c r="E1379" i="3" s="1"/>
  <c r="E1380" i="3" s="1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1" i="2"/>
  <c r="F32" i="2"/>
  <c r="F22" i="2" l="1"/>
</calcChain>
</file>

<file path=xl/sharedStrings.xml><?xml version="1.0" encoding="utf-8"?>
<sst xmlns="http://schemas.openxmlformats.org/spreadsheetml/2006/main" count="2910" uniqueCount="935">
  <si>
    <t>1</t>
  </si>
  <si>
    <t>N</t>
  </si>
  <si>
    <t>Log</t>
  </si>
  <si>
    <t>参数值</t>
  </si>
  <si>
    <t>Bit 位</t>
  </si>
  <si>
    <t>数据类型</t>
  </si>
  <si>
    <t>Modbus地址</t>
  </si>
  <si>
    <t>英文描述</t>
  </si>
  <si>
    <t>描述</t>
  </si>
  <si>
    <t>序号</t>
  </si>
  <si>
    <t>V</t>
  </si>
  <si>
    <t>Hz</t>
  </si>
  <si>
    <t>Frequency</t>
  </si>
  <si>
    <t>频率</t>
  </si>
  <si>
    <t>Y</t>
  </si>
  <si>
    <t xml:space="preserve">var </t>
  </si>
  <si>
    <t>Total reactive power</t>
  </si>
  <si>
    <t>三相无功功率</t>
  </si>
  <si>
    <t>W</t>
  </si>
  <si>
    <t>Total active power</t>
  </si>
  <si>
    <t>三相有功功率</t>
  </si>
  <si>
    <t>VA</t>
  </si>
  <si>
    <t xml:space="preserve">Total apparent power </t>
  </si>
  <si>
    <t>三相视在功率</t>
  </si>
  <si>
    <t>C相无功功率</t>
  </si>
  <si>
    <t>B相无功功率</t>
  </si>
  <si>
    <t>A相无功功率</t>
  </si>
  <si>
    <t>C相有功功率</t>
  </si>
  <si>
    <t>B相有功功率</t>
  </si>
  <si>
    <t>A相有功功率</t>
  </si>
  <si>
    <t>C相视在功率</t>
  </si>
  <si>
    <t>B相视在功率</t>
  </si>
  <si>
    <t>A相视在功率</t>
  </si>
  <si>
    <t>A</t>
  </si>
  <si>
    <t>C相电流</t>
  </si>
  <si>
    <t>B相电流</t>
  </si>
  <si>
    <t>A相电流</t>
  </si>
  <si>
    <t>C相电压</t>
  </si>
  <si>
    <t>B相电压</t>
  </si>
  <si>
    <t>A相电压</t>
  </si>
  <si>
    <t>Unit</t>
  </si>
  <si>
    <t>Modbus地址
（DEC）</t>
  </si>
  <si>
    <t>说明：运行参数-以下数据永久记录（状态发生变化后记录，保留完整记录，中间相同状态过滤掉）</t>
  </si>
  <si>
    <t>数字变化产生日志</t>
    <phoneticPr fontId="0" type="noConversion"/>
  </si>
  <si>
    <t>Y，黄色</t>
  </si>
  <si>
    <t>M</t>
  </si>
  <si>
    <t>binary</t>
  </si>
  <si>
    <t>0</t>
  </si>
  <si>
    <t>0x0200</t>
  </si>
  <si>
    <t>Short-time mean value current</t>
  </si>
  <si>
    <t>电流短时间平均值报警返回</t>
  </si>
  <si>
    <t>电流短时间平均值报警</t>
  </si>
  <si>
    <t>电流短时间平均值告警</t>
  </si>
  <si>
    <t>0x0100</t>
  </si>
  <si>
    <t>Leading overload tripping alarm</t>
  </si>
  <si>
    <t>超前过载脱扣报警返回</t>
  </si>
  <si>
    <t>超前过载脱扣报警</t>
  </si>
  <si>
    <t>超前过载脱扣告警</t>
  </si>
  <si>
    <t xml:space="preserve"> 0x0040 </t>
  </si>
  <si>
    <t xml:space="preserve">Ground fault </t>
  </si>
  <si>
    <t>接地故障报警返回</t>
  </si>
  <si>
    <t>接地故障报警</t>
  </si>
  <si>
    <t>接地故障告警</t>
  </si>
  <si>
    <t xml:space="preserve"> 0x0010 </t>
  </si>
  <si>
    <t xml:space="preserve"> Phase unbalance current </t>
  </si>
  <si>
    <t>相电流不平衡报警返回</t>
  </si>
  <si>
    <t>相电流不平衡报警</t>
  </si>
  <si>
    <t>相电流不平衡告警</t>
  </si>
  <si>
    <t>Load pick up</t>
  </si>
  <si>
    <t>升负荷报警返回</t>
  </si>
  <si>
    <t>升负荷报警</t>
  </si>
  <si>
    <t>升负荷告警</t>
  </si>
  <si>
    <t>15</t>
  </si>
  <si>
    <t>Load shedding alarm</t>
  </si>
  <si>
    <t>甩负荷报警返回</t>
  </si>
  <si>
    <t>甩负荷报警</t>
  </si>
  <si>
    <t>甩负荷告警</t>
  </si>
  <si>
    <t>110</t>
  </si>
  <si>
    <t xml:space="preserve">Overload in neutral conductor </t>
  </si>
  <si>
    <t>中性线过载</t>
  </si>
  <si>
    <t>Y, 红色</t>
  </si>
  <si>
    <t>H</t>
  </si>
  <si>
    <t>101</t>
  </si>
  <si>
    <t xml:space="preserve">Tripping operation as a result of 
extended protection function </t>
  </si>
  <si>
    <t>扩展保护脱扣</t>
  </si>
  <si>
    <t>100</t>
  </si>
  <si>
    <t xml:space="preserve">Ground fault (G) </t>
  </si>
  <si>
    <t>接地故障脱扣</t>
  </si>
  <si>
    <t>011</t>
  </si>
  <si>
    <t xml:space="preserve">Short time-delayed short circuit (I) </t>
  </si>
  <si>
    <t>短路短延时脱扣</t>
  </si>
  <si>
    <t>010</t>
  </si>
  <si>
    <t xml:space="preserve">Instantaneous short circuit </t>
  </si>
  <si>
    <t>短路瞬时脱扣</t>
  </si>
  <si>
    <t>001</t>
  </si>
  <si>
    <t xml:space="preserve">Overload tripping (L) </t>
  </si>
  <si>
    <t>过载脱扣</t>
  </si>
  <si>
    <t>000</t>
  </si>
  <si>
    <t>No tripping operation or last tripping operation acknowledged</t>
  </si>
  <si>
    <t>未脱扣/脱扣已确认</t>
  </si>
  <si>
    <t>脱扣原因</t>
  </si>
  <si>
    <t>Y，蓝色</t>
  </si>
  <si>
    <t>L</t>
  </si>
  <si>
    <t>11</t>
  </si>
  <si>
    <t>Status of the free user output</t>
  </si>
  <si>
    <t>自定义开出返回</t>
  </si>
  <si>
    <t>自定义开出动作</t>
  </si>
  <si>
    <t>自定义开出状态</t>
  </si>
  <si>
    <t>0</t>
    <phoneticPr fontId="0" type="noConversion"/>
  </si>
  <si>
    <t>10</t>
  </si>
  <si>
    <t xml:space="preserve">Write protection disable deactivated, changes allowed </t>
  </si>
  <si>
    <t>写功能退出</t>
  </si>
  <si>
    <t>1</t>
    <phoneticPr fontId="0" type="noConversion"/>
  </si>
  <si>
    <t>写功能激活</t>
  </si>
  <si>
    <t>写保护功能投退</t>
  </si>
  <si>
    <t>9</t>
  </si>
  <si>
    <t xml:space="preserve"> An alarm signal is currently present</t>
  </si>
  <si>
    <t>报警返回</t>
  </si>
  <si>
    <t>报警产生</t>
  </si>
  <si>
    <t>8</t>
  </si>
  <si>
    <t xml:space="preserve"> An activated threshold has been exceeded </t>
  </si>
  <si>
    <t>预设定值超限返回</t>
  </si>
  <si>
    <t>预设定值超限</t>
  </si>
  <si>
    <t>7</t>
  </si>
  <si>
    <t xml:space="preserve">Overload warning present </t>
  </si>
  <si>
    <t>过载告警返回</t>
  </si>
  <si>
    <t>过载告警</t>
  </si>
  <si>
    <t>6</t>
  </si>
  <si>
    <t>Spring energy store is compressed</t>
  </si>
  <si>
    <t>弹簧未储能</t>
  </si>
  <si>
    <t>弹簧已储能</t>
  </si>
  <si>
    <t>弹簧储能</t>
  </si>
  <si>
    <t>L</t>
    <phoneticPr fontId="0" type="noConversion"/>
  </si>
  <si>
    <t>5</t>
  </si>
  <si>
    <t xml:space="preserve">Undervoltage release </t>
  </si>
  <si>
    <t>欠压线圈失电</t>
  </si>
  <si>
    <t>欠压线圈得电</t>
  </si>
  <si>
    <t>Log</t>
    <phoneticPr fontId="0" type="noConversion"/>
  </si>
  <si>
    <t>4</t>
  </si>
  <si>
    <t xml:space="preserve">Ready-to-close signal available </t>
  </si>
  <si>
    <t>合闸未准备就绪</t>
  </si>
  <si>
    <t>合闸准备就绪</t>
  </si>
  <si>
    <t>11</t>
    <phoneticPr fontId="0" type="noConversion"/>
  </si>
  <si>
    <t xml:space="preserve">Switch has tripped </t>
  </si>
  <si>
    <t>脱扣状态</t>
  </si>
  <si>
    <t>10</t>
    <phoneticPr fontId="0" type="noConversion"/>
  </si>
  <si>
    <t xml:space="preserve">ON </t>
  </si>
  <si>
    <t>合闸状态</t>
  </si>
  <si>
    <t>01</t>
    <phoneticPr fontId="0" type="noConversion"/>
  </si>
  <si>
    <t>OFF</t>
  </si>
  <si>
    <t>分闸状态</t>
  </si>
  <si>
    <t>00</t>
    <phoneticPr fontId="0" type="noConversion"/>
  </si>
  <si>
    <t xml:space="preserve"> Not ready</t>
  </si>
  <si>
    <t>未知状态</t>
  </si>
  <si>
    <t>断路器状态</t>
    <phoneticPr fontId="0" type="noConversion"/>
  </si>
  <si>
    <t xml:space="preserve"> Switch is not available </t>
  </si>
  <si>
    <t>未知位置</t>
  </si>
  <si>
    <t xml:space="preserve"> Test position</t>
  </si>
  <si>
    <t>测试位置</t>
  </si>
  <si>
    <t xml:space="preserve">Connected position </t>
  </si>
  <si>
    <t>操作位置</t>
  </si>
  <si>
    <t>信号是否告警，由用户选择</t>
  </si>
  <si>
    <t xml:space="preserve"> Disconnected position</t>
  </si>
  <si>
    <t>分离位置</t>
    <phoneticPr fontId="0" type="noConversion"/>
  </si>
  <si>
    <t>断路器位置</t>
    <phoneticPr fontId="0" type="noConversion"/>
  </si>
  <si>
    <t>备注</t>
    <phoneticPr fontId="0" type="noConversion"/>
  </si>
  <si>
    <t>告警规则</t>
    <phoneticPr fontId="0" type="noConversion"/>
  </si>
  <si>
    <t>是否记录
（用用户可以自定义），此处为default值</t>
  </si>
  <si>
    <t>告警点是否在地图中显示
（用户可以自定义），此处显示default值</t>
  </si>
  <si>
    <t>告警等级和日志（告警等级用户自由定义），此处显示为default值</t>
  </si>
  <si>
    <t>参数值</t>
    <phoneticPr fontId="0" type="noConversion"/>
  </si>
  <si>
    <t>界面显示
（用户可以自定义）此处为default值</t>
  </si>
  <si>
    <t>运行数据（2）</t>
  </si>
  <si>
    <t>实时</t>
  </si>
  <si>
    <t>3个离散值（正常状态、提示维修、警示抢修）</t>
  </si>
  <si>
    <t>健康状态</t>
  </si>
  <si>
    <t>0% ~100%</t>
  </si>
  <si>
    <t>剩余寿命</t>
  </si>
  <si>
    <t>数据从MindSphere
的API调取，APP中用仪表盘和数值显示</t>
  </si>
  <si>
    <t>触头磨损率</t>
  </si>
  <si>
    <t>永久</t>
    <phoneticPr fontId="0" type="noConversion"/>
  </si>
  <si>
    <t>十五分钟同步</t>
    <phoneticPr fontId="0" type="noConversion"/>
  </si>
  <si>
    <t>0~7</t>
  </si>
  <si>
    <t xml:space="preserve"> Prepare maintenance of the</t>
  </si>
  <si>
    <t>主触头需要维护</t>
  </si>
  <si>
    <t xml:space="preserve"> Perform immediate visual inspection</t>
  </si>
  <si>
    <t>主触头需要检查</t>
  </si>
  <si>
    <t>主触头需要检测</t>
  </si>
  <si>
    <t>No maintenance necessary</t>
  </si>
  <si>
    <t>主触头健康</t>
  </si>
  <si>
    <t>unsigned
 char</t>
  </si>
  <si>
    <t>8~15</t>
  </si>
  <si>
    <t>Temperature in circuit breaker 
(measured in the BSS)</t>
  </si>
  <si>
    <t>断路器室温度</t>
  </si>
  <si>
    <t>Temperature in the control 
cabinet (measured in the 
COM16)</t>
  </si>
  <si>
    <t>断路器控制隔室温度</t>
  </si>
  <si>
    <t>unsigned int</t>
  </si>
  <si>
    <t>Number of ground-fault 
tripping operations (G)</t>
  </si>
  <si>
    <t>接地故障动作次数</t>
  </si>
  <si>
    <t>Number of 
overload trips (L)</t>
  </si>
  <si>
    <t>过载保护动作次数</t>
  </si>
  <si>
    <t xml:space="preserve"> Number of short-circuit trips
(SI) </t>
  </si>
  <si>
    <t>短路速断动作次数</t>
  </si>
  <si>
    <t xml:space="preserve">Number of switching
operations caused by trips </t>
  </si>
  <si>
    <t>脱扣次数</t>
  </si>
  <si>
    <t>设置越限告警
（上限或下限），用户可以自由定义，此处为default值</t>
  </si>
  <si>
    <t>保留时间</t>
    <phoneticPr fontId="0" type="noConversion"/>
  </si>
  <si>
    <t>采样频率</t>
    <phoneticPr fontId="0" type="noConversion"/>
  </si>
  <si>
    <t>数据类型（集成标准格式，
用户可选择）</t>
  </si>
  <si>
    <t>Bit位</t>
  </si>
  <si>
    <t>中文描述</t>
  </si>
  <si>
    <t>运行数据（1）</t>
  </si>
  <si>
    <t>一小时</t>
    <phoneticPr fontId="0" type="noConversion"/>
  </si>
  <si>
    <t>unsigned long</t>
  </si>
  <si>
    <t>Reactive energy in reverse
direction（kWh）</t>
  </si>
  <si>
    <t>反向无功电度（kwh）</t>
  </si>
  <si>
    <t>Reactive energy in normal
direction（kWh）</t>
  </si>
  <si>
    <t>正向无功电度（kwh）</t>
  </si>
  <si>
    <t>Active energy in reverse
direction（kWh）</t>
  </si>
  <si>
    <t>反向有功电度（kwh）</t>
  </si>
  <si>
    <t>Active energy in normal
direction（kWh）</t>
  </si>
  <si>
    <t>正向有功电度（kwh）</t>
  </si>
  <si>
    <t>一天</t>
    <phoneticPr fontId="0" type="noConversion"/>
  </si>
  <si>
    <t xml:space="preserve">signed int </t>
  </si>
  <si>
    <t>Power factor in phase L3</t>
  </si>
  <si>
    <t>C相功率因数</t>
  </si>
  <si>
    <t>Power factor in phase L2</t>
  </si>
  <si>
    <t>B相功率因数</t>
  </si>
  <si>
    <t>Power factor in phase L1</t>
  </si>
  <si>
    <t>A相功率因数</t>
  </si>
  <si>
    <t>#.#</t>
  </si>
  <si>
    <t>Mean value of power factor</t>
  </si>
  <si>
    <t>三相功率因数</t>
  </si>
  <si>
    <t>Apparent power in phase L13</t>
  </si>
  <si>
    <t>Apparent power in phase L12</t>
  </si>
  <si>
    <t xml:space="preserve">Apparent power in phase L1 </t>
  </si>
  <si>
    <t xml:space="preserve">Reactive power in phase L1 </t>
  </si>
  <si>
    <t>Active power in phase L3</t>
  </si>
  <si>
    <t>Active power in phase L2</t>
  </si>
  <si>
    <t>Active power in phase L1</t>
  </si>
  <si>
    <t>Neutrual point voltage phase L3</t>
  </si>
  <si>
    <t>Neutrual point voltage phase L2</t>
  </si>
  <si>
    <t>Neutrual point voltage phase L1</t>
  </si>
  <si>
    <t xml:space="preserve">Phase-to-phase voltage between 
phase L3 and L1 </t>
  </si>
  <si>
    <r>
      <t>线电压U</t>
    </r>
    <r>
      <rPr>
        <vertAlign val="subscript"/>
        <sz val="11"/>
        <color theme="1"/>
        <rFont val="Calibri"/>
        <family val="2"/>
        <scheme val="minor"/>
      </rPr>
      <t>CA</t>
    </r>
  </si>
  <si>
    <t xml:space="preserve"> Phase-to-phase voltage between 
phase L2 and L3 </t>
  </si>
  <si>
    <r>
      <t>线电压U</t>
    </r>
    <r>
      <rPr>
        <vertAlign val="subscript"/>
        <sz val="11"/>
        <color theme="1"/>
        <rFont val="Calibri"/>
        <family val="2"/>
        <scheme val="minor"/>
      </rPr>
      <t>BC</t>
    </r>
  </si>
  <si>
    <t>Phase-to-phase voltage between 
phase L1 and L2</t>
  </si>
  <si>
    <r>
      <t>线电压U</t>
    </r>
    <r>
      <rPr>
        <vertAlign val="subscript"/>
        <sz val="11"/>
        <color theme="1"/>
        <rFont val="Calibri"/>
        <family val="2"/>
        <scheme val="minor"/>
      </rPr>
      <t>AB</t>
    </r>
  </si>
  <si>
    <t>Current in phase L3</t>
  </si>
  <si>
    <t>Current in phase L2</t>
  </si>
  <si>
    <t>Current in phase L1</t>
  </si>
  <si>
    <t>测量数据</t>
  </si>
  <si>
    <t>3WL数据点-modbus RTU</t>
  </si>
  <si>
    <t>3WL 采集数据点（一期）</t>
  </si>
  <si>
    <t>Bit长度</t>
  </si>
  <si>
    <t>2</t>
  </si>
  <si>
    <t>12</t>
  </si>
  <si>
    <t>3</t>
  </si>
  <si>
    <t>8.7.5 Register block RB 72 min. and max. measured values</t>
  </si>
  <si>
    <t xml:space="preserve">8.7.6 Register block RB 73 min. and max. measured values of the voltages </t>
  </si>
  <si>
    <t>8.7.7 Register block RB 74 min. and max. measured values of the powers</t>
  </si>
  <si>
    <t>8.7.8 Register block RB 76 min. and max. measured values of the frequency and the
THD</t>
  </si>
  <si>
    <t xml:space="preserve">8.7.9 Register block RB 77 min. and max. measured values of the temperatures </t>
  </si>
  <si>
    <t xml:space="preserve">8.7.10 Register block RB 91 statistics information </t>
  </si>
  <si>
    <t>8.7.11 Register block RB 92 diagnostics data</t>
  </si>
  <si>
    <t xml:space="preserve">8.7.12 Register block RB 93 control of the circuit breakers The table below contains the register blocks RB 93: Controlling the circuit breakers (length
14 registers, write-only): </t>
  </si>
  <si>
    <t>8.7.13 Register block RB 94 current measured values</t>
  </si>
  <si>
    <t>8.7.14 Register block RB 97 Detailed identification</t>
  </si>
  <si>
    <t>8.7.15 Register block RB 100 Identification in overview</t>
  </si>
  <si>
    <t xml:space="preserve">8.7.16 Register block RB 128 parameters of the metering function and extended
protection function  (length 52 registers, read/write): </t>
  </si>
  <si>
    <t xml:space="preserve">8.7.17 Register block RB 129 parameters of the protection function and settings for
load shedding and load pick up </t>
  </si>
  <si>
    <t>8.7.18 Register block RB 131 switching the parameters for the extended protection
function and the threshold values on and off   (length
35 registers, read/write):</t>
  </si>
  <si>
    <t>8.7.19 Register block RB 130 parameters for the threshold values  (length
74 registers, read/write)</t>
  </si>
  <si>
    <t>8.7.20 Register block RB 160 parameters for communication  (length
39 registers, read/write):</t>
  </si>
  <si>
    <t xml:space="preserve">8.7.21 Register block RB 162 device configuration   (length
38 registers, read-only): </t>
  </si>
  <si>
    <t>8.7.22 Register block RB 165 identification comment   (length
97 registers, read/write)</t>
  </si>
  <si>
    <t>192.168.2.42</t>
  </si>
  <si>
    <t xml:space="preserve">Register block RB 51 main overview  The table below contains the register blocks RB 51: Main overview (length 119 registers,
read-only): </t>
  </si>
  <si>
    <t xml:space="preserve"> the harmonic analysis  The table below contains the register blocks RB 64: Data of the harmonic analysis (length
66 registers, read-only): </t>
  </si>
  <si>
    <t xml:space="preserve"> RB 68 data of the CubicleBUS module  Data of the CubicleBUS module (length
23 registers, read/write):</t>
  </si>
  <si>
    <t>Register block RB 69 status of the modules   Status of the modules (length
22 registers, read-only)</t>
  </si>
  <si>
    <t>x</t>
  </si>
  <si>
    <t>STRING</t>
  </si>
  <si>
    <t>BIT POS</t>
  </si>
  <si>
    <t xml:space="preserve">Controls the outputs of the
communication module (e.g.
switching the breaker) </t>
  </si>
  <si>
    <t>Current in neutral conductor</t>
  </si>
  <si>
    <t>System time of the circuit breaker</t>
  </si>
  <si>
    <t xml:space="preserve">Active parameter set </t>
  </si>
  <si>
    <t>Reserved</t>
  </si>
  <si>
    <t xml:space="preserve">System time of the circuit breaker </t>
  </si>
  <si>
    <t>INT</t>
  </si>
  <si>
    <t>PLC address - 1 = MODBUS register</t>
  </si>
  <si>
    <t>fc.</t>
  </si>
  <si>
    <t>DESC.</t>
  </si>
  <si>
    <t>BIT CNT</t>
  </si>
  <si>
    <t>REG CNT</t>
  </si>
  <si>
    <t>TYPE</t>
  </si>
  <si>
    <t>UNIT</t>
  </si>
  <si>
    <t>REG STOP</t>
  </si>
  <si>
    <t>Scaling</t>
  </si>
  <si>
    <t>ENUM_KEY</t>
  </si>
  <si>
    <t>ENUM_VALUE</t>
  </si>
  <si>
    <t>8 — Reserved 0x00</t>
  </si>
  <si>
    <t>1 = overload</t>
  </si>
  <si>
    <t>2 = instantaneous Short circuit</t>
  </si>
  <si>
    <t>3 = delayed Short-circuit</t>
  </si>
  <si>
    <t>4 = Ground fault</t>
  </si>
  <si>
    <t>5 = Ext. protection function</t>
  </si>
  <si>
    <t>6 = Overload N-conductor</t>
  </si>
  <si>
    <t>7 = ETU self-protection (analog override)</t>
  </si>
  <si>
    <t>8 = Overtemperature</t>
  </si>
  <si>
    <t>20 = Unbalance Current</t>
  </si>
  <si>
    <t>21 = Unbalance Voltage</t>
  </si>
  <si>
    <t>22 = Active power in normal dir.</t>
  </si>
  <si>
    <t>23 = Active power in reverse dir.</t>
  </si>
  <si>
    <t>24 = Overvoltage</t>
  </si>
  <si>
    <t>25 = Undervoltage</t>
  </si>
  <si>
    <t>26 = Overfrequency</t>
  </si>
  <si>
    <t>27 = Underfrequency</t>
  </si>
  <si>
    <t>28 = THD current</t>
  </si>
  <si>
    <t>29 = THD voltage</t>
  </si>
  <si>
    <t xml:space="preserve">30 = Change in phase dir. of rot. </t>
  </si>
  <si>
    <t>ENUM</t>
  </si>
  <si>
    <t>Reason for tripping operation</t>
  </si>
  <si>
    <t>Source of 1st tripping operation</t>
  </si>
  <si>
    <t>14 = Meter. function/M. PLUS</t>
  </si>
  <si>
    <t>25 = Trip unit</t>
  </si>
  <si>
    <t>Year</t>
  </si>
  <si>
    <t>Month</t>
  </si>
  <si>
    <t>Day</t>
  </si>
  <si>
    <t>Hour</t>
  </si>
  <si>
    <t>Minute</t>
  </si>
  <si>
    <t>Seconds</t>
  </si>
  <si>
    <t>Low-order digits of milliseconds</t>
  </si>
  <si>
    <t>Weekday (1 =Sunday, ..., 7 = Saturday) 0 - 3</t>
  </si>
  <si>
    <t>Higher-order digits of milliseconds (4MSB) 4 - 7</t>
  </si>
  <si>
    <t>time</t>
  </si>
  <si>
    <t>last 5 tripping operations-1</t>
  </si>
  <si>
    <t>last 5 tripping operations-2</t>
  </si>
  <si>
    <t>last 5 tripping operations-3</t>
  </si>
  <si>
    <t>last 5 tripping operations-4</t>
  </si>
  <si>
    <t>last 5 tripping operations-5</t>
  </si>
  <si>
    <t>1 2 Overload warning</t>
  </si>
  <si>
    <t>3 4 Overload warning N-conductor</t>
  </si>
  <si>
    <t>5 6 Load shedding alarm</t>
  </si>
  <si>
    <t>7 8 Load pick up message</t>
  </si>
  <si>
    <t>9 10 Phase unbalance warning</t>
  </si>
  <si>
    <t>11 12 Fault in trip unit</t>
  </si>
  <si>
    <t>13 14 Ground fault warning</t>
  </si>
  <si>
    <t>15 16 Overtemperature warning</t>
  </si>
  <si>
    <t xml:space="preserve">20 — Switch on </t>
  </si>
  <si>
    <t>21 — Switch off</t>
  </si>
  <si>
    <t>40 41 Threshold warning TV current</t>
  </si>
  <si>
    <t>42 43 TV ground fault</t>
  </si>
  <si>
    <t>44 45 TV overcurrent N-conductor</t>
  </si>
  <si>
    <t>46 47 TV unbalance current</t>
  </si>
  <si>
    <t>48 49 TV long-time mean value for current</t>
  </si>
  <si>
    <t>50 51 TV undervoltage</t>
  </si>
  <si>
    <t>52 53 TV unbalance voltage</t>
  </si>
  <si>
    <t>54 55 TV overvoltage</t>
  </si>
  <si>
    <t>56 57 TV long-time mean value for active power</t>
  </si>
  <si>
    <t>58 59 TV long-time mean value for apparent power</t>
  </si>
  <si>
    <t>60 61 TV long-time mean value for reactive power</t>
  </si>
  <si>
    <t>62 63 TV reactive power in normal direction</t>
  </si>
  <si>
    <t>64 65 TV reactive power in reverse direction</t>
  </si>
  <si>
    <t>66 67 TV apparent power</t>
  </si>
  <si>
    <t>68 69 TV overfrequency</t>
  </si>
  <si>
    <t>70 71 TV underfrequency</t>
  </si>
  <si>
    <t>72 73 TV under power factor</t>
  </si>
  <si>
    <t>74 75 TV over power factor</t>
  </si>
  <si>
    <t>76 77 TV THD current</t>
  </si>
  <si>
    <t>78 79 TV THD voltage</t>
  </si>
  <si>
    <t>80 81 TV peak factor</t>
  </si>
  <si>
    <t>82 83 TV form factor</t>
  </si>
  <si>
    <t>84 85 TV active power in normal direction</t>
  </si>
  <si>
    <t>86 87 TV active power in reverse direction</t>
  </si>
  <si>
    <t xml:space="preserve"> - 80 81 TV peak factor</t>
  </si>
  <si>
    <t xml:space="preserve"> - 82 83 TV form factor</t>
  </si>
  <si>
    <t xml:space="preserve"> - 84 85 TV active power in normal direction</t>
  </si>
  <si>
    <t xml:space="preserve"> - 86 87 TV active power in reverse direction</t>
  </si>
  <si>
    <t xml:space="preserve"> +</t>
  </si>
  <si>
    <t xml:space="preserve"> -</t>
  </si>
  <si>
    <r>
      <rPr>
        <b/>
        <sz val="11"/>
        <color rgb="FF000000"/>
        <rFont val="Calibri"/>
        <family val="2"/>
      </rPr>
      <t>default</t>
    </r>
    <r>
      <rPr>
        <b/>
        <sz val="11"/>
        <color rgb="FF000000"/>
        <rFont val="Noto Sans CJK SC Regular"/>
        <family val="2"/>
      </rPr>
      <t>值</t>
    </r>
  </si>
  <si>
    <t>Header; value 0x00 00 00 00</t>
  </si>
  <si>
    <t>Set user output</t>
  </si>
  <si>
    <t>0 1 Reset user output</t>
  </si>
  <si>
    <t>0 2 Open circuit breaker</t>
  </si>
  <si>
    <t>0 3 Close the circuit breaker</t>
  </si>
  <si>
    <t>0 4 Switch user output mode to trip message 1</t>
  </si>
  <si>
    <t>Status of user output mode 1/0 Trip is output 0 5 1 Actuation by user</t>
  </si>
  <si>
    <t>0 6 Read status of user output</t>
  </si>
  <si>
    <t>0 7 Read status of user input (COM16 only)</t>
  </si>
  <si>
    <t>BITS</t>
  </si>
  <si>
    <t>Status of the outputs of the digital output module 1</t>
  </si>
  <si>
    <t>Status of the connected Modbus</t>
  </si>
  <si>
    <t>0 = Communication active;</t>
  </si>
  <si>
    <t>1 = Communication inactive</t>
  </si>
  <si>
    <t>The communication module has no valid MODBUS RTU address</t>
  </si>
  <si>
    <t>Modbus RTU address can no longer be changed</t>
  </si>
  <si>
    <t>Format (18) "Control communication module"-Deletes the maintenance counters</t>
  </si>
  <si>
    <t>Format (18) "Control communication module"-Deletes the min./max. temperatures</t>
  </si>
  <si>
    <t>Format (18) "Control communication module"-Deletes all min./max. values except temperature</t>
  </si>
  <si>
    <t>Format (18) "Control communication module"-Synchronizes the clock to xx:30:00.000</t>
  </si>
  <si>
    <t>Format (18) "Control communication module"-Deletes the contents of the trip log and event log</t>
  </si>
  <si>
    <t>0 0 Set user output</t>
  </si>
  <si>
    <t>0 4 Switch user output mode to trip message</t>
  </si>
  <si>
    <t xml:space="preserve">Status of user output mode 1 = 0 Trip is output 0 5 =1 Actuation by user </t>
  </si>
  <si>
    <t>"Phase number" 0 0 Phase L1</t>
  </si>
  <si>
    <t>"Phase number" 0 1 Phase L2</t>
  </si>
  <si>
    <t>"Phase number" 0 2 Phase L3</t>
  </si>
  <si>
    <t>"Phase number" 0 3 N-conductor</t>
  </si>
  <si>
    <t xml:space="preserve">"Phase number" 0 4 Ground fault </t>
  </si>
  <si>
    <t xml:space="preserve">Time until presumed overload trip </t>
  </si>
  <si>
    <t>TIME</t>
  </si>
  <si>
    <t>Position of the circuit breaker in
the frame</t>
  </si>
  <si>
    <t>0 0 Disconnected position</t>
  </si>
  <si>
    <t>0 1 Connected position</t>
  </si>
  <si>
    <t>0 2 Test position</t>
  </si>
  <si>
    <t>0 3 Switch not available</t>
  </si>
  <si>
    <t>Overload parameter IR parameter
set A (PS A)</t>
  </si>
  <si>
    <t>Overload parameter IR parameter set B (PS B)</t>
  </si>
  <si>
    <t>Parameter set A active</t>
  </si>
  <si>
    <t>Parameter set B active</t>
  </si>
  <si>
    <t>RESERVED</t>
  </si>
  <si>
    <t>Property byte</t>
  </si>
  <si>
    <t>0 Data point read/write</t>
  </si>
  <si>
    <t>1 Data point read only, but can be reset (e.g. maintenance)</t>
  </si>
  <si>
    <t>2 Data point read only, can only be written at the factory</t>
  </si>
  <si>
    <t>3 Data point read only</t>
  </si>
  <si>
    <t>Data point read/write</t>
  </si>
  <si>
    <t>2 – Bit not used</t>
  </si>
  <si>
    <t>3 – Bit not used</t>
  </si>
  <si>
    <t>4 – Data point value in valid range</t>
  </si>
  <si>
    <t>5 – Data point/option activated.</t>
  </si>
  <si>
    <t>6 – Data point/option available.</t>
  </si>
  <si>
    <t>7 – Bit not used</t>
  </si>
  <si>
    <t>4.5.2 Data set DS 51: Main overview</t>
  </si>
  <si>
    <t>4.5.6 Data set DS 68: CubicleBUS Output Module Status</t>
  </si>
  <si>
    <t>last 20 trips with time stamp 1</t>
  </si>
  <si>
    <t>last 20 trips with time stamp 2</t>
  </si>
  <si>
    <t>last 20 trips with time stamp 3</t>
  </si>
  <si>
    <t>last 20 trips with time stamp 4</t>
  </si>
  <si>
    <t>last 20 trips with time stamp 5</t>
  </si>
  <si>
    <t>last 20 trips with time stamp 6</t>
  </si>
  <si>
    <t>last 20 trips with time stamp 7</t>
  </si>
  <si>
    <t>last 20 trips with time stamp 8</t>
  </si>
  <si>
    <t>last 20 trips with time stamp 9</t>
  </si>
  <si>
    <t>last 20 trips with time stamp 10</t>
  </si>
  <si>
    <t>last 20 trips with time stamp 11</t>
  </si>
  <si>
    <t>last 20 trips with time stamp 13</t>
  </si>
  <si>
    <t>last 20 trips with time stamp 14</t>
  </si>
  <si>
    <t>last 20 trips with time stamp 15</t>
  </si>
  <si>
    <t>last 20 trips with time stamp 16</t>
  </si>
  <si>
    <t>last 20 trips with time stamp 17</t>
  </si>
  <si>
    <t>last 20 trips with time stamp 18</t>
  </si>
  <si>
    <t>last 20 trips with time stamp 19</t>
  </si>
  <si>
    <t>last 20 trips with time stamp 20</t>
  </si>
  <si>
    <t>last 20 trips with time stamp PB</t>
  </si>
  <si>
    <t>4.5.4 Data set DS 54: Event log</t>
  </si>
  <si>
    <t>last 20 events with time 1</t>
  </si>
  <si>
    <t>last 20 events with time 2</t>
  </si>
  <si>
    <t>last 20 events with time 3</t>
  </si>
  <si>
    <t>last 20 events with time 4</t>
  </si>
  <si>
    <t>last 20 events with time 5</t>
  </si>
  <si>
    <t>last 20 events with time 6</t>
  </si>
  <si>
    <t>last 20 events with time 7</t>
  </si>
  <si>
    <t>last 20 events with time 8</t>
  </si>
  <si>
    <t>last 20 events with time 9</t>
  </si>
  <si>
    <t>last 20 events with time 10</t>
  </si>
  <si>
    <t>last 20 events with time 11</t>
  </si>
  <si>
    <t>last 20 events with time 12</t>
  </si>
  <si>
    <t>last 20 events with time 13</t>
  </si>
  <si>
    <t>last 20 events with time 14</t>
  </si>
  <si>
    <t>last 20 events with time 15</t>
  </si>
  <si>
    <t>last 20 events with time 16</t>
  </si>
  <si>
    <t>last 20 events with time 17</t>
  </si>
  <si>
    <t>last 20 events with time 18</t>
  </si>
  <si>
    <t>last 20 events with time 19</t>
  </si>
  <si>
    <t>last 20 events with time 20</t>
  </si>
  <si>
    <t>4.5.5 Data set DS 64: Data of the harmonics analysis</t>
  </si>
  <si>
    <t>Format (309)</t>
  </si>
  <si>
    <t xml:space="preserve">Signed char </t>
  </si>
  <si>
    <t>Unsigned char</t>
  </si>
  <si>
    <t>Harmonic current: Value</t>
  </si>
  <si>
    <t>Harmonic voltage: Exponent</t>
  </si>
  <si>
    <t>Harmonic voltage: Value</t>
  </si>
  <si>
    <t>Harmonic current: Exponent</t>
  </si>
  <si>
    <t>Harmonics of current/voltage to the 29th harmonic 1</t>
  </si>
  <si>
    <t>Harmonics of current/voltage to the 29th harmonic 2</t>
  </si>
  <si>
    <t>Harmonics of current/voltage to the 29th harmonic 3</t>
  </si>
  <si>
    <t>Harmonics of current/voltage to the 29th harmonic 4</t>
  </si>
  <si>
    <t>Harmonics of current/voltage to the 29th harmonic 5</t>
  </si>
  <si>
    <t>Harmonics of current/voltage to the 29th harmonic 6</t>
  </si>
  <si>
    <t>Harmonics of current/voltage to the 29th harmonic 7</t>
  </si>
  <si>
    <t>Harmonics of current/voltage to the 29th harmonic 8</t>
  </si>
  <si>
    <t>Harmonics of current/voltage to the 29th harmonic 9</t>
  </si>
  <si>
    <t>Harmonics of current/voltage to the 29th harmonic 10</t>
  </si>
  <si>
    <t>Harmonics of current/voltage to the 29th harmonic 11</t>
  </si>
  <si>
    <t>Harmonics of current/voltage to the 29th harmonic 12</t>
  </si>
  <si>
    <t>Harmonics of current/voltage to the 29th harmonic 13</t>
  </si>
  <si>
    <t>Harmonics of current/voltage to the 29th harmonic 14</t>
  </si>
  <si>
    <t>Harmonics of current/voltage to the 29th harmonic 15</t>
  </si>
  <si>
    <t>Harmonics of current/voltage to the 29th harmonic 16</t>
  </si>
  <si>
    <t>Harmonics of current/voltage to the 29th harmonic 17</t>
  </si>
  <si>
    <t>Harmonics of current/voltage to the 29th harmonic 18</t>
  </si>
  <si>
    <t>Harmonics of current/voltage to the 29th harmonic 19</t>
  </si>
  <si>
    <t>Harmonics of current/voltage to the 29th harmonic 20</t>
  </si>
  <si>
    <t>Harmonics of current/voltage to the 29th harmonic 21</t>
  </si>
  <si>
    <t>Harmonics of current/voltage to the 29th harmonic 22</t>
  </si>
  <si>
    <t>Harmonics of current/voltage to the 29th harmonic 23</t>
  </si>
  <si>
    <t>Harmonics of current/voltage to the 29th harmonic 24</t>
  </si>
  <si>
    <t>Harmonics of current/voltage to the 29th harmonic 25</t>
  </si>
  <si>
    <t>Harmonics of current/voltage to the 29th harmonic 26</t>
  </si>
  <si>
    <t>Harmonics of current/voltage to the 29th harmonic 27</t>
  </si>
  <si>
    <t>Harmonics of current/voltage to the 29th harmonic 28</t>
  </si>
  <si>
    <t>Harmonics of current/voltage to the 29th harmonic 29</t>
  </si>
  <si>
    <t>Harmonics of current/voltage to the 29th harmonic 29 PB</t>
  </si>
  <si>
    <t>4.5.13 Data set DS 91: Statistical information</t>
  </si>
  <si>
    <t>UINT</t>
  </si>
  <si>
    <t>Number of open/close operations under load</t>
  </si>
  <si>
    <t>ULONG</t>
  </si>
  <si>
    <t>Format(107)</t>
  </si>
  <si>
    <t>Format(405)</t>
  </si>
  <si>
    <t>Format(88)</t>
  </si>
  <si>
    <t>Property byte: Number of open/close operations under load</t>
  </si>
  <si>
    <t>Property byte: Number of open/close operations caused by trips</t>
  </si>
  <si>
    <t>Property byte: Count of open/close operations</t>
  </si>
  <si>
    <t>Property byte: Runtime meter (when closed + current &gt; 0)</t>
  </si>
  <si>
    <t>Property byte: Date of the last parameter change</t>
  </si>
  <si>
    <t>Property byte: Number of short-circuit trips (S &amp; I)</t>
  </si>
  <si>
    <t>Property byte: Number of LT/overload trips</t>
  </si>
  <si>
    <t>Property byte: Number of ground-fault trips (G)</t>
  </si>
  <si>
    <t>Property byte: Sum of interrupted I²t values L1, L2, L3, N</t>
  </si>
  <si>
    <t>Property byte: Maintenance information about the main contacts</t>
  </si>
  <si>
    <t>Property byte: Modules connected to the CubicleBUS</t>
  </si>
  <si>
    <t>FORMAT(19)</t>
  </si>
  <si>
    <t>FORMAT(373)</t>
  </si>
  <si>
    <t>FORMAT(370)</t>
  </si>
  <si>
    <t>FORMAT(15)</t>
  </si>
  <si>
    <t>Format(24)_(328)</t>
  </si>
  <si>
    <t>Format(24)</t>
  </si>
  <si>
    <t>Format(328)</t>
  </si>
  <si>
    <t>0 0 Circuit breaker open</t>
  </si>
  <si>
    <t>0 1 Circuit breaker closed</t>
  </si>
  <si>
    <t>0 2 Circuit breaker has tripped (trip alarm switch)</t>
  </si>
  <si>
    <t>0 3 Circuit breaker ready to close</t>
  </si>
  <si>
    <t>0 4 Spring energy store charged</t>
  </si>
  <si>
    <t>0 5 First auxiliary release (shunt trip) operated</t>
  </si>
  <si>
    <t>0 6 Second auxiliary release (UVR) operated</t>
  </si>
  <si>
    <t xml:space="preserve"> Status of the circuit breaker</t>
  </si>
  <si>
    <t>Format (343)</t>
  </si>
  <si>
    <t>0 0 I2t characteristic for delayed short-circuit protection switched off (default).</t>
  </si>
  <si>
    <t>0 1 I2t characteristic for delayed short-circuit protection switched on.</t>
  </si>
  <si>
    <t>I2t characteristic for short-time delayed overcurrent</t>
  </si>
  <si>
    <t>Format (344)</t>
  </si>
  <si>
    <t xml:space="preserve"> I2t characteristic for ground-fault protection</t>
  </si>
  <si>
    <t>0 0 I2t characteristic for ground-fault protection switched off (default).</t>
  </si>
  <si>
    <t>0 1 I2t characteristic for ground-fault protection switched on.</t>
  </si>
  <si>
    <t>Format (345)</t>
  </si>
  <si>
    <t>I4t characteristic for Long-time/Overload protection</t>
  </si>
  <si>
    <t>0 0 I4t characteristic for long-time/overload protection switched off (default).</t>
  </si>
  <si>
    <t>0 1 I4t characteristic for overload protection switched on.</t>
  </si>
  <si>
    <t xml:space="preserve">Format (346) </t>
  </si>
  <si>
    <t>Thermal memory</t>
  </si>
  <si>
    <t>0 0 Thermal memory deactivated (default)</t>
  </si>
  <si>
    <t>0 1 Thermal memory activated</t>
  </si>
  <si>
    <t xml:space="preserve">Format (347) </t>
  </si>
  <si>
    <t>Phase loss sensitivity</t>
  </si>
  <si>
    <t>0 0 Phase loss sensitivity deactivated (default)</t>
  </si>
  <si>
    <t>0 1 Phase loss sensitivity activated</t>
  </si>
  <si>
    <t xml:space="preserve">Format (370) </t>
  </si>
  <si>
    <t>Active parameter set</t>
  </si>
  <si>
    <t>0 0 Parameter set A active</t>
  </si>
  <si>
    <t>0 1 Parameter set B active</t>
  </si>
  <si>
    <t>Format (373)</t>
  </si>
  <si>
    <t xml:space="preserve"> Phase number</t>
  </si>
  <si>
    <t>0 0 Phase L1</t>
  </si>
  <si>
    <t>0 1 Phase L2</t>
  </si>
  <si>
    <t>0 2 Phase L3</t>
  </si>
  <si>
    <t>0 3 Neutral conductor</t>
  </si>
  <si>
    <t>0 4 Ground-fault</t>
  </si>
  <si>
    <t>4.6.8 Data formats 401 to 478</t>
  </si>
  <si>
    <t xml:space="preserve">Format (401) </t>
  </si>
  <si>
    <t>0 0x00 No trip</t>
  </si>
  <si>
    <t>0 0x01 Overload/long-time (L)</t>
  </si>
  <si>
    <t>0 0x02 Instantaneous trip (I)</t>
  </si>
  <si>
    <t>0 0x04 Short-time delay trip (S)</t>
  </si>
  <si>
    <t>0 0x08 Ground-fault (G)</t>
  </si>
  <si>
    <t>Trip unit: Trips last
unacknowledged trip</t>
  </si>
  <si>
    <t>Warnings</t>
  </si>
  <si>
    <t>0 0 Overload</t>
  </si>
  <si>
    <t>0 1 Overload neutral conductor</t>
  </si>
  <si>
    <t>0 2 Load shed threshold</t>
  </si>
  <si>
    <t>0 3 Load pickup level</t>
  </si>
  <si>
    <t>0 4 Phase unbalance current</t>
  </si>
  <si>
    <t>0 5 Microprocessor error</t>
  </si>
  <si>
    <t>0 6 Ground-fault</t>
  </si>
  <si>
    <t>0 7 Overtemperature</t>
  </si>
  <si>
    <t>1 0 Leading signal of overload trip</t>
  </si>
  <si>
    <t>1 1 Average current</t>
  </si>
  <si>
    <t xml:space="preserve">Format (405) </t>
  </si>
  <si>
    <t xml:space="preserve">Contact condition </t>
  </si>
  <si>
    <t>0 0 No maintenance necessary yet on main contacts Note:Despite this, the main contacts must be checked after every overcurrent tripping operation.</t>
  </si>
  <si>
    <t>0 1 Perform immediate visual inspection on main contacts.</t>
  </si>
  <si>
    <t>0 2 Prepare maintenance of the main contacts.</t>
  </si>
  <si>
    <t xml:space="preserve">Format (406) </t>
  </si>
  <si>
    <t>Control trip unit</t>
  </si>
  <si>
    <t>0 / 1 0x0002 Delete last trip message in trip unit</t>
  </si>
  <si>
    <t>0 / 1 0x0022 Reset counter and statistical information of the trip unit</t>
  </si>
  <si>
    <t xml:space="preserve">Format (410) </t>
  </si>
  <si>
    <t>Ground-fault sensing method</t>
  </si>
  <si>
    <t>0 0 GF sensing with external iron-core CT</t>
  </si>
  <si>
    <t>0 1 GF sensing via residual method (vector summation)</t>
  </si>
  <si>
    <t>0 2 Reserved</t>
  </si>
  <si>
    <t xml:space="preserve">Format (411) </t>
  </si>
  <si>
    <t xml:space="preserve">Neutral sensor </t>
  </si>
  <si>
    <t>0 0 No neutral sensor installed</t>
  </si>
  <si>
    <t>0 1 Neutral sensor installed</t>
  </si>
  <si>
    <t>Format (412)</t>
  </si>
  <si>
    <t>Trip unit type for 3WL</t>
  </si>
  <si>
    <t>0 4 IEC ETU45B</t>
  </si>
  <si>
    <t>0 5 IEC ETU45B with display</t>
  </si>
  <si>
    <t>0 6 IEC ETU45B with ground-fault protection</t>
  </si>
  <si>
    <t>0 7 IEC ETU45B with display and ground-fault protection</t>
  </si>
  <si>
    <t>0 13 IEC ETU76B</t>
  </si>
  <si>
    <t>0 14 IEC ETU76B with ground-fault protection</t>
  </si>
  <si>
    <t>0 17 UL ETU748</t>
  </si>
  <si>
    <t>0 18 UL ETU748 with display</t>
  </si>
  <si>
    <t>0 19 UL ETU748 with ground-fault protection</t>
  </si>
  <si>
    <t>0 20 UL ETU748 with display and ground-fault protection</t>
  </si>
  <si>
    <t>0 22 UL ETU776</t>
  </si>
  <si>
    <t>0 23 UL ETU745</t>
  </si>
  <si>
    <t xml:space="preserve">Format (421) </t>
  </si>
  <si>
    <t xml:space="preserve">Parameter ZSI </t>
  </si>
  <si>
    <t>0 0 ZSI for short-time active</t>
  </si>
  <si>
    <t>0 1 ZSI for ground-fault active</t>
  </si>
  <si>
    <t>0 2 Not used</t>
  </si>
  <si>
    <t>0 3 Not used</t>
  </si>
  <si>
    <t>0 4 … 5 0 ZSI disabled</t>
  </si>
  <si>
    <t>1 ZSI input and output active</t>
  </si>
  <si>
    <t>2 ZSI output active</t>
  </si>
  <si>
    <t>0 6 Not used</t>
  </si>
  <si>
    <t>0 7 Not used</t>
  </si>
  <si>
    <t>0 ZSI disabled</t>
  </si>
  <si>
    <t xml:space="preserve">Format (426) </t>
  </si>
  <si>
    <t xml:space="preserve">Configurable digital output control </t>
  </si>
  <si>
    <t>0 0 Communication bit 1</t>
  </si>
  <si>
    <t>0 1 Communication bit 2</t>
  </si>
  <si>
    <t>0 2 Communication bit 3</t>
  </si>
  <si>
    <t>0 3 Communication bit 4</t>
  </si>
  <si>
    <t>0 4 Communication bit 5</t>
  </si>
  <si>
    <t>0 5 Communication bit 6</t>
  </si>
  <si>
    <t xml:space="preserve">Format (476) </t>
  </si>
  <si>
    <t xml:space="preserve">IPv4 suite </t>
  </si>
  <si>
    <t>0 … 3 IPv4 host address</t>
  </si>
  <si>
    <t>4 … 7 IPv4 sub net mask</t>
  </si>
  <si>
    <t>8 … 11 IPv4 gateway address</t>
  </si>
  <si>
    <t xml:space="preserve">Format (478) </t>
  </si>
  <si>
    <t>COM35 I/O configuration</t>
  </si>
  <si>
    <t>0 0 Set the user output manually.</t>
  </si>
  <si>
    <t>0 1 Reset the user output manually.</t>
  </si>
  <si>
    <t>0 2 Activate "OPEN" output (for 500 ms)</t>
  </si>
  <si>
    <t>0 3 Activate "CLOSE" output (for 500 ms)</t>
  </si>
  <si>
    <t>0 4 Set user output "FREE" to tripped indication.</t>
  </si>
  <si>
    <t>0 5 Set user output "FREE" to Parameter Set B.</t>
  </si>
  <si>
    <t>0 6 Set user output "FREE" to manual activation.</t>
  </si>
  <si>
    <t>0 7 Set user output "FREE" to switch parameter sets.</t>
  </si>
  <si>
    <t>Mode of user output</t>
  </si>
  <si>
    <t>Mode of the free user input "FREE"</t>
  </si>
  <si>
    <t>0 Parameter set switchover inactive</t>
  </si>
  <si>
    <t>1 Parameter set switchover active</t>
  </si>
  <si>
    <t>00 User output mode = tripped indication</t>
  </si>
  <si>
    <t>01 User output mode = manual activation (bit 0 set)</t>
  </si>
  <si>
    <t>10 User output mode = switch parameter sets (bit 1 set)</t>
  </si>
  <si>
    <t>1 3 Read status of user output</t>
  </si>
  <si>
    <t>1 4 Read status of user input</t>
  </si>
  <si>
    <t>1 5 Switch over user output mode to manual operation</t>
  </si>
  <si>
    <t>1 6 … 7 Reserved</t>
  </si>
  <si>
    <t>REG NUM</t>
  </si>
  <si>
    <t>DO1Status of outputs of the digital output module 1</t>
  </si>
  <si>
    <t>DO2Status of outputs of the digital output module 2</t>
  </si>
  <si>
    <t>Property byte: System time of the circuit breaker</t>
  </si>
  <si>
    <t>UNSIGNED CHAR</t>
  </si>
  <si>
    <t>Property byte: Status of outputs of the digital output module 1</t>
  </si>
  <si>
    <t>Property byte: Status of outputs of the digital output module 2</t>
  </si>
  <si>
    <t>Status of the inputs of digital input module 1</t>
  </si>
  <si>
    <t>Status of the inputs of digital input module 2</t>
  </si>
  <si>
    <t>Rotary switch position of the digital input module 1</t>
  </si>
  <si>
    <t>Rotary switch position of the digital input module 2</t>
  </si>
  <si>
    <t>Rotary switch position of the digital output module 1</t>
  </si>
  <si>
    <t>Format (111)</t>
  </si>
  <si>
    <t>Format (119)</t>
  </si>
  <si>
    <t>Rotary switch position of the digital output module 2</t>
  </si>
  <si>
    <t>Communication module write protection (Write Enable)</t>
  </si>
  <si>
    <t>Format (14)</t>
  </si>
  <si>
    <t>6 Modbus communication module bits for the configurable digital output module</t>
  </si>
  <si>
    <t>Format (426)</t>
  </si>
  <si>
    <t>Property byte: 6 Modbus communication module bits for the configurable digital output module</t>
  </si>
  <si>
    <t>Property byte: Status of the inputs of digital input module 1</t>
  </si>
  <si>
    <t>Property byte: Status of the inputs of digital input module 2</t>
  </si>
  <si>
    <t>Property byte: Circuit breaker position at the digital input module 1</t>
  </si>
  <si>
    <t>Property byte: Circuit breaker position at the digital input module 2</t>
  </si>
  <si>
    <t>Property byte: Circuit breaker position at the digital output module 1</t>
  </si>
  <si>
    <t>Minimum current in phase 1</t>
  </si>
  <si>
    <t>Unsigned int16</t>
  </si>
  <si>
    <t>Maximum current in phase 1</t>
  </si>
  <si>
    <t>Minimum current in phase 2</t>
  </si>
  <si>
    <t>Maximum current in phase 2</t>
  </si>
  <si>
    <t>Minimum current in phase 3</t>
  </si>
  <si>
    <t>Maximum current in phase 3</t>
  </si>
  <si>
    <t>Maximum current in neutral conductor</t>
  </si>
  <si>
    <t>Minimum ground current</t>
  </si>
  <si>
    <t>Maximum ground current</t>
  </si>
  <si>
    <t>Minimum average 3- phase current</t>
  </si>
  <si>
    <t>Maximum average 3- phase current</t>
  </si>
  <si>
    <t>Minimum current demand</t>
  </si>
  <si>
    <t>Maximum current demand</t>
  </si>
  <si>
    <t>TS minimum current in phase L1</t>
  </si>
  <si>
    <t>TS maximum current in phase L1</t>
  </si>
  <si>
    <t>TS minimum current in phase L2</t>
  </si>
  <si>
    <t>TS maximum current in phase L2</t>
  </si>
  <si>
    <t>TS minimum current in phase L3</t>
  </si>
  <si>
    <t>TS maximum current in phase L3</t>
  </si>
  <si>
    <t>TS maximum average value over 3 phases</t>
  </si>
  <si>
    <t>TS minimum average current demand</t>
  </si>
  <si>
    <t>TS maximum average current demand</t>
  </si>
  <si>
    <t>TS minimum current in neutral conductor</t>
  </si>
  <si>
    <t>TS maximum current in neutral conductor</t>
  </si>
  <si>
    <t>TS minimum ground current</t>
  </si>
  <si>
    <t>TS maximum ground current</t>
  </si>
  <si>
    <t>TS minimum crest factor</t>
  </si>
  <si>
    <t>TS maximum crest factor</t>
  </si>
  <si>
    <t>TS minimum form factor</t>
  </si>
  <si>
    <t>TS maximum form factor</t>
  </si>
  <si>
    <t>4.5.9 Data set DS 73: Min./max. measured values of the voltages</t>
  </si>
  <si>
    <t>Minimum phase-tophase voltage L1-L2</t>
  </si>
  <si>
    <t>4.5.10 Data set DS 74: Min./max. measured values of the powers</t>
  </si>
  <si>
    <t>Minimum average power factor (3-phase)</t>
  </si>
  <si>
    <t>Signed int16</t>
  </si>
  <si>
    <t>4.5.11 Data set DS 76: Min./max. measured values of frequency and THD</t>
  </si>
  <si>
    <t>Maximum frequency</t>
  </si>
  <si>
    <t>4.5.12 Data set DS 77: Min./max. measured values of the temperatures</t>
  </si>
  <si>
    <t>Minimum temperature in the cubicle</t>
  </si>
  <si>
    <t>Signed char</t>
  </si>
  <si>
    <t>LOW</t>
  </si>
  <si>
    <t>HIGH</t>
  </si>
  <si>
    <t>Maximum temperature in the cubicle</t>
  </si>
  <si>
    <t>Minimum temperature in the circuit breaker</t>
  </si>
  <si>
    <t>Maximum temperature in the circuit breaker</t>
  </si>
  <si>
    <t>Property byte: Minimum temperature in the cubicle</t>
  </si>
  <si>
    <t>Property byte: Maximum temperature in the cubicle</t>
  </si>
  <si>
    <t>Number of open/close operations caused by trips</t>
  </si>
  <si>
    <t>Unsigned long32</t>
  </si>
  <si>
    <t>Runtime meter (when closed + current &gt; 0)</t>
  </si>
  <si>
    <t>4.5.14 Data set DS 92: Diagnostic data</t>
  </si>
  <si>
    <t>hex string</t>
  </si>
  <si>
    <t>SENTRON identification number (0x0E05)</t>
  </si>
  <si>
    <t>Fixed value 0x42</t>
  </si>
  <si>
    <t>External diagnostic bit  1 = Diagnosis • 0 = No diagnosis</t>
  </si>
  <si>
    <t>UnSigned char</t>
  </si>
  <si>
    <t>Fixed header; value 0x05 82 00 00 00</t>
  </si>
  <si>
    <t>Modules connected to the CubicleBUS</t>
  </si>
  <si>
    <t>Format (88)</t>
  </si>
  <si>
    <t>0 1 Trip unit ETU</t>
  </si>
  <si>
    <t>0 2 ZSI module</t>
  </si>
  <si>
    <t>1 0 Configurable digital output module</t>
  </si>
  <si>
    <t>1 2 Digital output module No. 2</t>
  </si>
  <si>
    <t>1 3 Digital input module No. 2</t>
  </si>
  <si>
    <t>1 4 Breaker Status Sensor BSS</t>
  </si>
  <si>
    <t>1 5 Digital output module No. 1</t>
  </si>
  <si>
    <t>1 6 Digital input module No. 1</t>
  </si>
  <si>
    <t>2 1 BDA PLUS</t>
  </si>
  <si>
    <t>2 3 Graphical display ETU76B/ETU776</t>
  </si>
  <si>
    <t>2 4 Analog output module No. 2</t>
  </si>
  <si>
    <t>2 5 Analog output module No. 1</t>
  </si>
  <si>
    <t>2 6 Metering function or metering function PLUS</t>
  </si>
  <si>
    <t>0 1 IEC 60947-2</t>
  </si>
  <si>
    <t>0 2 UL489</t>
  </si>
  <si>
    <t>0 3 ANSI (UL1066)</t>
  </si>
  <si>
    <t>Format (307)</t>
  </si>
  <si>
    <t>Count of trips by extended protective functions</t>
  </si>
  <si>
    <t>0 / 1 0x0000 No trip</t>
  </si>
  <si>
    <t>0 / 1 0x0001 Phase unbalance current</t>
  </si>
  <si>
    <t>0 / 1 0x0002 Phase unbalance voltage</t>
  </si>
  <si>
    <t>0 / 1 0x0004 Active power in normal direction</t>
  </si>
  <si>
    <t>0 / 1 0x0008 Active power in reverse direction</t>
  </si>
  <si>
    <t>0 / 1 0x0040 Overvoltage</t>
  </si>
  <si>
    <t>0 / 1 0x0080 Undervoltage</t>
  </si>
  <si>
    <t>0 / 1 0x0100 Overfrequency</t>
  </si>
  <si>
    <t>0 / 1 0x0200 Underfrequency</t>
  </si>
  <si>
    <t>0 / 1 0x0400 THD current</t>
  </si>
  <si>
    <t>0 / 1 0x0800 THD voltage</t>
  </si>
  <si>
    <t>0 / 1 0x1000 Change in direction of phase rotation</t>
  </si>
  <si>
    <t>4.5.15 Data set DS 93: Controlling the circuit breakers</t>
  </si>
  <si>
    <t>Format (406)</t>
  </si>
  <si>
    <t>Controls the trip unit</t>
  </si>
  <si>
    <t>Format (121)</t>
  </si>
  <si>
    <t>Format (126)</t>
  </si>
  <si>
    <t>Controls digital output module 1</t>
  </si>
  <si>
    <t>Controls digital output module 2</t>
  </si>
  <si>
    <t>0x7f</t>
  </si>
  <si>
    <t>0xee</t>
  </si>
  <si>
    <t>0xff88</t>
  </si>
  <si>
    <t>4.5.16 Data set DS 94: Current measured values</t>
  </si>
  <si>
    <t>Phase unbalance current (%)</t>
  </si>
  <si>
    <t>3-phase current demand</t>
  </si>
  <si>
    <t>Line-to-neutral voltage L1</t>
  </si>
  <si>
    <t>Reactive energy in reverse direction [kVARh]</t>
  </si>
  <si>
    <t>4.5.17 Data set DS 97: Detailed identification</t>
  </si>
  <si>
    <t>Part number of the trip unit</t>
  </si>
  <si>
    <t>4.5.18 Data set DS 100: Identification overview</t>
  </si>
  <si>
    <t>Time</t>
  </si>
  <si>
    <t>Test date of the circuit breaker</t>
  </si>
  <si>
    <t>Manufacturer (SIEMENS)</t>
  </si>
  <si>
    <t>string</t>
  </si>
  <si>
    <t>Device name (SENTRON WL)</t>
  </si>
  <si>
    <t>4.5.19 Data set DS 128: Parameters of the metering function and enhanced protection function</t>
  </si>
  <si>
    <t>Format (162)</t>
  </si>
  <si>
    <t>Voltage transformer primary connection: star/wye or delta</t>
  </si>
  <si>
    <t>Voltage transformer primary rating</t>
  </si>
  <si>
    <t>Voltage transformer secondary rating</t>
  </si>
  <si>
    <t>Length of period for calculating demand</t>
  </si>
  <si>
    <t>Underflow limit1)</t>
  </si>
  <si>
    <t>4.5.20 Data set DS 129: Parameters of the protection function and settings for load shed threshold and load pickup</t>
  </si>
  <si>
    <t>Overload/long-time pickup IR PS A</t>
  </si>
  <si>
    <t>Neutral overload pickup IN PS A</t>
  </si>
  <si>
    <t>Overload/long-time delay tR PS A</t>
  </si>
  <si>
    <t>4.5.21 Data set DS 130: Parameters for the alarm setpoint values</t>
  </si>
  <si>
    <t>Active power in normal direction</t>
  </si>
  <si>
    <t>Active power in reverse direction</t>
  </si>
  <si>
    <t>Power factor, capacitive</t>
  </si>
  <si>
    <t>0X01</t>
  </si>
  <si>
    <t>0X78</t>
  </si>
  <si>
    <t>0XFE</t>
  </si>
  <si>
    <t>4.5.22 Data set DS 131: Parameters to activate/deactivate extended protective functions and alarm setpoint functions</t>
  </si>
  <si>
    <t>Property byte: Overload/long-time pickup IR PS A</t>
  </si>
  <si>
    <t>Property byte: Neutral overload pickup IN PS A</t>
  </si>
  <si>
    <t>Property byte: Instantaneous short-circuit pickup Ii PS A</t>
  </si>
  <si>
    <t>4.5.23 Data set DS 160: Parameters for communication</t>
  </si>
  <si>
    <t>Basic type of Modbus TCP data transfer</t>
  </si>
  <si>
    <t>Data in the cyclic profile of Modbus TCP</t>
  </si>
  <si>
    <t>Format (7)</t>
  </si>
  <si>
    <t>Property byte: Basic type of Modbus TCP data transfer</t>
  </si>
  <si>
    <t>4.5.24 Data set DS 161: Parameters for communication</t>
  </si>
  <si>
    <t>Structure for IPv4 device address, network mask and gateway of the COM35</t>
  </si>
  <si>
    <t>Format (476)</t>
  </si>
  <si>
    <t>SNTP server IPv4 device address</t>
  </si>
  <si>
    <t>4.5.25 Data set DS 162: Device configuration</t>
  </si>
  <si>
    <t>ID number of the COM35</t>
  </si>
  <si>
    <t>Part number of circuit breaker</t>
  </si>
  <si>
    <t>Format (103)</t>
  </si>
  <si>
    <t>Type (metering function, metering function PLUS)</t>
  </si>
  <si>
    <t>Format (138)</t>
  </si>
  <si>
    <t>4.5.26 Data set DS 163: Profinet device name</t>
  </si>
  <si>
    <t>PROFINET device name</t>
  </si>
  <si>
    <t>Property byte: PROFINET device name</t>
  </si>
  <si>
    <t>4.5.27 Data set DS 165: Identification comment</t>
  </si>
  <si>
    <t>User text (freely editable)</t>
  </si>
  <si>
    <t>Plant identifier (freely editable)</t>
  </si>
  <si>
    <t>4.5.28 Data set DS 166: IP white list</t>
  </si>
  <si>
    <t>White list IP addresses</t>
  </si>
  <si>
    <t>Format (508)</t>
  </si>
  <si>
    <t>4.5.29 Data set DS 167: Daylight saving change</t>
  </si>
  <si>
    <t>Offset from UTC</t>
  </si>
  <si>
    <t>signed int 16</t>
  </si>
  <si>
    <t>Switch daylight saving change on/off</t>
  </si>
  <si>
    <t>unsigned int 16</t>
  </si>
  <si>
    <t>If daylight saving is active</t>
  </si>
  <si>
    <t>HEXSTRING</t>
  </si>
  <si>
    <t>FORMAT370</t>
  </si>
  <si>
    <t xml:space="preserve"> Trips by the extended protective functions (metering)</t>
  </si>
  <si>
    <t>Format (16)</t>
  </si>
  <si>
    <t>Format (15)</t>
  </si>
  <si>
    <t>Format (18)</t>
  </si>
  <si>
    <t>Controls the commands/functions of the communication module (e.g. clear or reset min./max. values)</t>
  </si>
  <si>
    <t>Signed int</t>
  </si>
  <si>
    <t>Average power factor, 3-phase</t>
  </si>
  <si>
    <t>Unsigned int</t>
  </si>
  <si>
    <t>Current in phase with maximum load</t>
  </si>
  <si>
    <t>Current which flows to ground Ground current</t>
  </si>
  <si>
    <t>Status of the circuit breaker (e.g. open/closed/charged)</t>
  </si>
  <si>
    <t>Overload/long-time pickup IR PS B</t>
  </si>
  <si>
    <t>Rating plug value</t>
  </si>
  <si>
    <t>Property byte: Trip log of the last 5 trips with time stamp</t>
  </si>
  <si>
    <t>Property byte: Event log of the last 10 events with time stamp</t>
  </si>
  <si>
    <t>Property byte of the communication module: Controls the commands/functions (e.g. clear or reset min./max. values)</t>
  </si>
  <si>
    <t>Property byte for byte 183: Shows the phase with maximum load</t>
  </si>
  <si>
    <t>Property byte: Average power factor, 3-phase</t>
  </si>
  <si>
    <t>Property byte: Current in phase with maximum load</t>
  </si>
  <si>
    <t>Property byte: Current in neutral conductor</t>
  </si>
  <si>
    <t>Property byte: Ground current</t>
  </si>
  <si>
    <t>Property byte: Position of the circuit breaker in the frame</t>
  </si>
  <si>
    <t>Property byte: Status of the circuit breaker (e.g. open/closed/charged)</t>
  </si>
  <si>
    <t>Property byte: Overload/long-time pickup IR PS B</t>
  </si>
  <si>
    <t>Property byte: Rating plug value</t>
  </si>
  <si>
    <t>Property byte: Active parameter set</t>
  </si>
  <si>
    <t>4.5.3 Data set DS 53: Trip log</t>
  </si>
  <si>
    <t>4.5.7 Data set DS 69: CubicleBUS Input Module Status</t>
  </si>
  <si>
    <t>4.5.8 Data set DS 72: Min./max. measured metered value log</t>
  </si>
  <si>
    <t>Minimum crest factor</t>
  </si>
  <si>
    <t>Maximum crest factor</t>
  </si>
  <si>
    <t>Minimum form factor</t>
  </si>
  <si>
    <t>Maximum form factor</t>
  </si>
  <si>
    <t>Format (402)</t>
  </si>
  <si>
    <t>Format (95)</t>
  </si>
  <si>
    <t>Market</t>
  </si>
  <si>
    <t xml:space="preserve">Format (95) </t>
  </si>
  <si>
    <t>CubicleBUS modules 0 0 COM15 / COM16 / COM35</t>
  </si>
  <si>
    <t xml:space="preserve"> Control communication module</t>
  </si>
  <si>
    <t>bits</t>
  </si>
  <si>
    <t>4.5.2 Data set DS 51: Main overview(length 119 Modbus registers, read only).</t>
  </si>
  <si>
    <t>4.5.3 Data set DS 53: Trip logw (length 121 Modbus registers, read only)</t>
  </si>
  <si>
    <t xml:space="preserve">4.5.4 Data set DS 54: Event log(length 121 Modbus registers, read only) </t>
  </si>
  <si>
    <t>4.5.5 Data set DS 64: Data of the harmonics analysis (length 66 Modbus registers, read only)</t>
  </si>
  <si>
    <t>4.5.6 Data set DS 68: CubicleBUS Output Module Status  (length
23 Modbus registers, read and write)</t>
  </si>
  <si>
    <t>[255,255,1,64]</t>
  </si>
  <si>
    <t>4.5.7 Data set DS 69: CubicleBUS Input Module Status (length 22 Modbus
registers, read only)</t>
  </si>
  <si>
    <t>4.5.8 Data set DS 72: Min./max. measured metered value log(length 118 Modbus registers, read only)</t>
  </si>
  <si>
    <t>4.5.9 Data set DS 73: Min./max. measured values of the voltages(length 87 Modbus registers, read only)</t>
  </si>
  <si>
    <t xml:space="preserve">4.5.11 Data set DS 76: Min./max. measured values of frequency and THD (length 46 Modbus registers, read only) </t>
  </si>
  <si>
    <t xml:space="preserve">4.5.13 Data set DS 91: Statistical information (length 42 Modbus registers, read only) </t>
  </si>
  <si>
    <t>4.5.14 Data set DS 92: Diagnostic dataa (length 97 Modbus
registers, read only)</t>
  </si>
  <si>
    <t>4.5.15 Data set DS 93: Controlling the circuit breakerss (length
14 Modbus registers, write only)</t>
  </si>
  <si>
    <t>4.5.16 Data set DS 94: Current measured values  (length 99 Modbus registers, read only).</t>
  </si>
  <si>
    <t>4.5.17 Data set DS 97: Detailed identification (length
112 Modbus registers, read only)</t>
  </si>
  <si>
    <t>4.5.18 Data set DS 100: Identification overview (length
50 Modbus registers, read only)</t>
  </si>
  <si>
    <t>4.5.19 Data set DS 128: Parameters of the metering function and enhanced protection function (length 52 Modbus
registers, read and write)</t>
  </si>
  <si>
    <t>4.5.21 Data set DS 130: Parameters for the alarm setpoint values (length 74 Modbus registers, read
and write)</t>
  </si>
  <si>
    <t>4.5.22 Data set DS 131: Parameters to activate/deactivate extended protective functions and alarm setpoint functions(length 35 Modbus registers, read and write).</t>
  </si>
  <si>
    <t>4.5.23 Data set DS 160: Parameters for communicationn (length 39 Modbus
registers, read and write)</t>
  </si>
  <si>
    <t>4.5.24 Data set DS 161: Parameters for communication (length 82 Modbus registers,
read and write)</t>
  </si>
  <si>
    <t>4.5.25 Data set DS 162: Device configurationt (length 38 Modbus
registers, read only).</t>
  </si>
  <si>
    <t>4.5.27 Data set DS 165: Identification comment(length 97 Modbus registers, read and write)</t>
  </si>
  <si>
    <t>4.5.19 Data set DS 128: Parameters of the metering function and enhanced protection function (length 52 Modbus registers, read and write)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</si>
</sst>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000000"/>
      <name val="Noto Sans CJK SC Regular"/>
      <family val="2"/>
    </font>
    <font>
      <b/>
      <sz val="11"/>
      <color rgb="FF000000"/>
      <name val="Noto Sans CJK SC Regular"/>
      <family val="2"/>
    </font>
    <font>
      <b/>
      <sz val="11"/>
      <color rgb="FF000000"/>
      <name val="Calibri"/>
      <family val="2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rgb="FFFF9900"/>
      </patternFill>
    </fill>
    <fill>
      <patternFill patternType="solid">
        <fgColor theme="9" tint="0.79998168889431442"/>
        <bgColor rgb="FFFF99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49" fontId="0" fillId="2" borderId="0" xfId="0" applyNumberFormat="1" applyFill="1"/>
    <xf numFmtId="49" fontId="0" fillId="2" borderId="0" xfId="0" applyNumberFormat="1" applyFill="1" applyAlignment="1">
      <alignment horizontal="left"/>
    </xf>
    <xf numFmtId="0" fontId="0" fillId="2" borderId="0" xfId="0" applyFill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4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0" fillId="4" borderId="1" xfId="0" applyFill="1" applyBorder="1"/>
    <xf numFmtId="0" fontId="0" fillId="4" borderId="1" xfId="0" applyFill="1" applyBorder="1" applyAlignment="1">
      <alignment wrapText="1"/>
    </xf>
    <xf numFmtId="49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49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left"/>
    </xf>
    <xf numFmtId="49" fontId="1" fillId="0" borderId="1" xfId="0" applyNumberFormat="1" applyFont="1" applyBorder="1" applyAlignment="1">
      <alignment horizontal="left" wrapText="1"/>
    </xf>
    <xf numFmtId="0" fontId="0" fillId="0" borderId="0" xfId="0" applyAlignment="1">
      <alignment wrapText="1"/>
    </xf>
    <xf numFmtId="0" fontId="0" fillId="3" borderId="0" xfId="0" applyFill="1" applyAlignment="1">
      <alignment wrapText="1"/>
    </xf>
    <xf numFmtId="0" fontId="0" fillId="0" borderId="0" xfId="0"/>
    <xf numFmtId="0" fontId="0" fillId="0" borderId="0" xfId="0"/>
    <xf numFmtId="0" fontId="0" fillId="6" borderId="0" xfId="0" applyFill="1" applyAlignment="1">
      <alignment wrapText="1"/>
    </xf>
    <xf numFmtId="0" fontId="0" fillId="0" borderId="0" xfId="0" applyAlignment="1"/>
    <xf numFmtId="0" fontId="0" fillId="8" borderId="0" xfId="0" applyFill="1" applyAlignment="1"/>
    <xf numFmtId="0" fontId="0" fillId="4" borderId="0" xfId="0" applyFill="1" applyAlignment="1"/>
    <xf numFmtId="0" fontId="0" fillId="0" borderId="0" xfId="0"/>
    <xf numFmtId="0" fontId="0" fillId="0" borderId="0" xfId="0"/>
    <xf numFmtId="0" fontId="0" fillId="4" borderId="0" xfId="0" applyFill="1"/>
    <xf numFmtId="0" fontId="5" fillId="0" borderId="0" xfId="0" applyFont="1" applyAlignment="1">
      <alignment wrapText="1"/>
    </xf>
    <xf numFmtId="0" fontId="0" fillId="7" borderId="0" xfId="0" applyFill="1"/>
    <xf numFmtId="0" fontId="7" fillId="0" borderId="0" xfId="0" applyFont="1" applyAlignment="1" applyProtection="1">
      <alignment wrapText="1"/>
      <protection locked="0"/>
    </xf>
    <xf numFmtId="49" fontId="6" fillId="9" borderId="0" xfId="0" applyNumberFormat="1" applyFont="1" applyFill="1" applyAlignment="1" applyProtection="1">
      <alignment wrapText="1"/>
      <protection locked="0"/>
    </xf>
    <xf numFmtId="0" fontId="9" fillId="10" borderId="0" xfId="0" applyFont="1" applyFill="1" applyAlignment="1" applyProtection="1">
      <alignment wrapText="1"/>
      <protection locked="0"/>
    </xf>
    <xf numFmtId="0" fontId="10" fillId="0" borderId="0" xfId="0" applyFont="1" applyAlignment="1" applyProtection="1">
      <alignment wrapText="1"/>
      <protection locked="0"/>
    </xf>
    <xf numFmtId="0" fontId="5" fillId="8" borderId="0" xfId="0" applyFont="1" applyFill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10" borderId="0" xfId="0" applyFont="1" applyFill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8" borderId="0" xfId="0" applyFill="1" applyAlignment="1">
      <alignment wrapText="1"/>
    </xf>
    <xf numFmtId="0" fontId="0" fillId="8" borderId="0" xfId="0" applyFill="1"/>
    <xf numFmtId="0" fontId="0" fillId="0" borderId="0" xfId="0"/>
    <xf numFmtId="0" fontId="0" fillId="11" borderId="0" xfId="0" applyFill="1"/>
    <xf numFmtId="0" fontId="0" fillId="11" borderId="0" xfId="0" applyFill="1" applyAlignment="1"/>
    <xf numFmtId="0" fontId="0" fillId="12" borderId="0" xfId="0" applyFill="1"/>
    <xf numFmtId="0" fontId="0" fillId="12" borderId="0" xfId="0" applyFill="1" applyAlignment="1"/>
    <xf numFmtId="0" fontId="0" fillId="12" borderId="0" xfId="0" applyFill="1" applyAlignment="1">
      <alignment wrapText="1"/>
    </xf>
    <xf numFmtId="0" fontId="0" fillId="0" borderId="0" xfId="0"/>
    <xf numFmtId="0" fontId="0" fillId="13" borderId="0" xfId="0" applyFill="1" applyAlignment="1"/>
    <xf numFmtId="0" fontId="0" fillId="13" borderId="0" xfId="0" applyFill="1"/>
    <xf numFmtId="0" fontId="0" fillId="13" borderId="0" xfId="0" applyFill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0" fontId="0" fillId="0" borderId="0" xfId="0" applyFill="1" applyAlignment="1"/>
    <xf numFmtId="0" fontId="5" fillId="0" borderId="0" xfId="0" applyFont="1" applyFill="1" applyAlignment="1"/>
    <xf numFmtId="0" fontId="0" fillId="0" borderId="0" xfId="0" applyFill="1" applyAlignment="1">
      <alignment wrapText="1"/>
    </xf>
    <xf numFmtId="0" fontId="0" fillId="0" borderId="0" xfId="0"/>
    <xf numFmtId="0" fontId="0" fillId="0" borderId="0" xfId="0" applyAlignment="1">
      <alignment horizontal="center" wrapText="1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/>
    <xf numFmtId="0" fontId="0" fillId="5" borderId="0" xfId="0" applyFill="1"/>
    <xf numFmtId="0" fontId="0" fillId="0" borderId="0" xfId="0"/>
    <xf numFmtId="0" fontId="2" fillId="2" borderId="4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0" fontId="0" fillId="0" borderId="3" xfId="0" applyBorder="1"/>
    <xf numFmtId="0" fontId="0" fillId="0" borderId="2" xfId="0" applyBorder="1"/>
    <xf numFmtId="0" fontId="0" fillId="4" borderId="7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328173</xdr:colOff>
      <xdr:row>52</xdr:row>
      <xdr:rowOff>1602</xdr:rowOff>
    </xdr:from>
    <xdr:ext cx="5846856" cy="479667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0923" y="16860852"/>
          <a:ext cx="5846856" cy="47966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296537</xdr:colOff>
      <xdr:row>77</xdr:row>
      <xdr:rowOff>123264</xdr:rowOff>
    </xdr:from>
    <xdr:ext cx="7409375" cy="275664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79287" y="21745014"/>
          <a:ext cx="7409375" cy="2756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112059</xdr:colOff>
      <xdr:row>98</xdr:row>
      <xdr:rowOff>179294</xdr:rowOff>
    </xdr:from>
    <xdr:ext cx="6878732" cy="4911538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9" y="18225994"/>
          <a:ext cx="6878732" cy="4911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638735</xdr:colOff>
      <xdr:row>98</xdr:row>
      <xdr:rowOff>134470</xdr:rowOff>
    </xdr:from>
    <xdr:ext cx="8381439" cy="4921063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3785" y="18181170"/>
          <a:ext cx="8381439" cy="4921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1133475</xdr:colOff>
          <xdr:row>0</xdr:row>
          <xdr:rowOff>76200</xdr:rowOff>
        </xdr:from>
        <xdr:to>
          <xdr:col>1</xdr:col>
          <xdr:colOff>1952625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3724275</xdr:colOff>
          <xdr:row>1</xdr:row>
          <xdr:rowOff>38100</xdr:rowOff>
        </xdr:from>
        <xdr:to>
          <xdr:col>1</xdr:col>
          <xdr:colOff>4781550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Space.json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3724275</xdr:colOff>
          <xdr:row>0</xdr:row>
          <xdr:rowOff>38100</xdr:rowOff>
        </xdr:from>
        <xdr:to>
          <xdr:col>1</xdr:col>
          <xdr:colOff>4781550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4C79DD0-94AA-4CCB-AFEB-917361967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Space.json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F43E2-8100-4B74-B810-1081BB93FD17}">
  <sheetPr codeName="Sheet1"/>
  <dimension ref="A1:P96"/>
  <sheetViews>
    <sheetView zoomScale="70" zoomScaleNormal="70" workbookViewId="0">
      <selection activeCell="K81" sqref="K81"/>
    </sheetView>
  </sheetViews>
  <sheetFormatPr defaultRowHeight="15"/>
  <cols>
    <col min="1" max="1" width="6.140625" style="2" bestFit="1" customWidth="1"/>
    <col min="2" max="2" width="21.140625" style="2" bestFit="1" customWidth="1"/>
    <col min="3" max="3" width="25.140625" bestFit="1" customWidth="1"/>
    <col min="4" max="4" width="27.28515625" customWidth="1"/>
    <col min="5" max="5" width="4.42578125" bestFit="1" customWidth="1"/>
    <col min="6" max="6" width="11.7109375" bestFit="1" customWidth="1"/>
    <col min="7" max="7" width="8.42578125" style="1" bestFit="1" customWidth="1"/>
    <col min="8" max="8" width="8.42578125" style="1" customWidth="1"/>
    <col min="9" max="9" width="14.85546875" bestFit="1" customWidth="1"/>
    <col min="10" max="10" width="12.85546875" bestFit="1" customWidth="1"/>
    <col min="11" max="13" width="25.140625" bestFit="1" customWidth="1"/>
    <col min="14" max="14" width="19" bestFit="1" customWidth="1"/>
    <col min="15" max="15" width="25.140625" bestFit="1" customWidth="1"/>
  </cols>
  <sheetData>
    <row r="1" spans="1:15" ht="21">
      <c r="A1" s="75" t="s">
        <v>254</v>
      </c>
      <c r="B1" s="76"/>
      <c r="C1" s="77" t="s">
        <v>253</v>
      </c>
      <c r="D1" s="77"/>
      <c r="E1" s="77"/>
      <c r="F1" s="77"/>
      <c r="G1" s="77"/>
      <c r="H1" s="77"/>
      <c r="I1" s="77"/>
      <c r="J1" s="77"/>
      <c r="K1" s="77"/>
      <c r="L1" s="77"/>
      <c r="M1" s="77"/>
      <c r="N1" s="78"/>
      <c r="O1" s="79"/>
    </row>
    <row r="2" spans="1:15" ht="18.75">
      <c r="A2" s="80" t="s">
        <v>252</v>
      </c>
      <c r="B2" s="81"/>
      <c r="C2" s="82"/>
      <c r="D2" s="82"/>
      <c r="E2" s="82"/>
      <c r="F2" s="82"/>
      <c r="G2" s="82"/>
      <c r="H2" s="82"/>
      <c r="I2" s="82"/>
      <c r="J2" s="82"/>
      <c r="K2" s="83"/>
      <c r="L2" s="83"/>
      <c r="M2" s="83"/>
      <c r="N2" s="83"/>
      <c r="O2" s="84"/>
    </row>
    <row r="3" spans="1:15" ht="75">
      <c r="A3" s="15" t="s">
        <v>9</v>
      </c>
      <c r="B3" s="16" t="s">
        <v>171</v>
      </c>
      <c r="C3" s="15" t="s">
        <v>210</v>
      </c>
      <c r="D3" s="15" t="s">
        <v>7</v>
      </c>
      <c r="E3" s="15" t="s">
        <v>40</v>
      </c>
      <c r="F3" s="16" t="s">
        <v>41</v>
      </c>
      <c r="G3" s="28" t="s">
        <v>209</v>
      </c>
      <c r="H3" s="28" t="s">
        <v>255</v>
      </c>
      <c r="I3" s="16" t="s">
        <v>3</v>
      </c>
      <c r="J3" s="16" t="s">
        <v>208</v>
      </c>
      <c r="K3" s="16" t="s">
        <v>207</v>
      </c>
      <c r="L3" s="16" t="s">
        <v>206</v>
      </c>
      <c r="M3" s="16" t="s">
        <v>167</v>
      </c>
      <c r="N3" s="16" t="s">
        <v>205</v>
      </c>
      <c r="O3" s="15" t="s">
        <v>165</v>
      </c>
    </row>
    <row r="4" spans="1:15">
      <c r="A4" s="10">
        <v>1</v>
      </c>
      <c r="B4" s="6" t="s">
        <v>36</v>
      </c>
      <c r="C4" s="6" t="s">
        <v>36</v>
      </c>
      <c r="D4" s="6" t="s">
        <v>251</v>
      </c>
      <c r="E4" s="6" t="s">
        <v>33</v>
      </c>
      <c r="F4" s="6">
        <v>24070</v>
      </c>
      <c r="G4" s="9"/>
      <c r="H4" s="9"/>
      <c r="I4" s="30"/>
      <c r="J4" s="30" t="s">
        <v>196</v>
      </c>
      <c r="K4" s="6" t="s">
        <v>181</v>
      </c>
      <c r="L4" s="6" t="s">
        <v>222</v>
      </c>
      <c r="M4" s="6" t="s">
        <v>1</v>
      </c>
      <c r="N4" s="6" t="s">
        <v>14</v>
      </c>
      <c r="O4" s="6"/>
    </row>
    <row r="5" spans="1:15">
      <c r="A5" s="10">
        <v>2</v>
      </c>
      <c r="B5" s="6" t="s">
        <v>35</v>
      </c>
      <c r="C5" s="6" t="s">
        <v>35</v>
      </c>
      <c r="D5" s="6" t="s">
        <v>250</v>
      </c>
      <c r="E5" s="6" t="s">
        <v>33</v>
      </c>
      <c r="F5" s="6">
        <v>24071</v>
      </c>
      <c r="G5" s="9"/>
      <c r="H5" s="9"/>
      <c r="I5" s="30"/>
      <c r="J5" s="30" t="s">
        <v>196</v>
      </c>
      <c r="K5" s="6" t="s">
        <v>181</v>
      </c>
      <c r="L5" s="6" t="s">
        <v>222</v>
      </c>
      <c r="M5" s="6" t="s">
        <v>1</v>
      </c>
      <c r="N5" s="6" t="s">
        <v>14</v>
      </c>
      <c r="O5" s="6"/>
    </row>
    <row r="6" spans="1:15">
      <c r="A6" s="10">
        <v>3</v>
      </c>
      <c r="B6" s="6" t="s">
        <v>34</v>
      </c>
      <c r="C6" s="6" t="s">
        <v>34</v>
      </c>
      <c r="D6" s="6" t="s">
        <v>249</v>
      </c>
      <c r="E6" s="6" t="s">
        <v>33</v>
      </c>
      <c r="F6" s="6">
        <v>24072</v>
      </c>
      <c r="G6" s="9"/>
      <c r="H6" s="9"/>
      <c r="I6" s="30"/>
      <c r="J6" s="30" t="s">
        <v>196</v>
      </c>
      <c r="K6" s="6" t="s">
        <v>181</v>
      </c>
      <c r="L6" s="6" t="s">
        <v>222</v>
      </c>
      <c r="M6" s="6" t="s">
        <v>1</v>
      </c>
      <c r="N6" s="6" t="s">
        <v>14</v>
      </c>
      <c r="O6" s="6"/>
    </row>
    <row r="7" spans="1:15" ht="46.5">
      <c r="A7" s="10">
        <v>4</v>
      </c>
      <c r="B7" s="6" t="s">
        <v>248</v>
      </c>
      <c r="C7" s="6" t="s">
        <v>248</v>
      </c>
      <c r="D7" s="30" t="s">
        <v>247</v>
      </c>
      <c r="E7" s="30" t="s">
        <v>10</v>
      </c>
      <c r="F7" s="6">
        <v>24077</v>
      </c>
      <c r="G7" s="9"/>
      <c r="H7" s="9"/>
      <c r="I7" s="30"/>
      <c r="J7" s="30" t="s">
        <v>196</v>
      </c>
      <c r="K7" s="6" t="s">
        <v>181</v>
      </c>
      <c r="L7" s="6" t="s">
        <v>222</v>
      </c>
      <c r="M7" s="6" t="s">
        <v>1</v>
      </c>
      <c r="N7" s="6" t="s">
        <v>14</v>
      </c>
      <c r="O7" s="6"/>
    </row>
    <row r="8" spans="1:15" ht="46.5">
      <c r="A8" s="10">
        <v>5</v>
      </c>
      <c r="B8" s="6" t="s">
        <v>246</v>
      </c>
      <c r="C8" s="6" t="s">
        <v>246</v>
      </c>
      <c r="D8" s="30" t="s">
        <v>245</v>
      </c>
      <c r="E8" s="30" t="s">
        <v>10</v>
      </c>
      <c r="F8" s="6">
        <v>24078</v>
      </c>
      <c r="G8" s="9"/>
      <c r="H8" s="9"/>
      <c r="I8" s="30"/>
      <c r="J8" s="30" t="s">
        <v>196</v>
      </c>
      <c r="K8" s="6" t="s">
        <v>181</v>
      </c>
      <c r="L8" s="6" t="s">
        <v>222</v>
      </c>
      <c r="M8" s="6" t="s">
        <v>1</v>
      </c>
      <c r="N8" s="6" t="s">
        <v>14</v>
      </c>
      <c r="O8" s="6"/>
    </row>
    <row r="9" spans="1:15" ht="46.5">
      <c r="A9" s="10">
        <v>6</v>
      </c>
      <c r="B9" s="6" t="s">
        <v>244</v>
      </c>
      <c r="C9" s="6" t="s">
        <v>244</v>
      </c>
      <c r="D9" s="30" t="s">
        <v>243</v>
      </c>
      <c r="E9" s="30" t="s">
        <v>10</v>
      </c>
      <c r="F9" s="6">
        <v>24079</v>
      </c>
      <c r="G9" s="9"/>
      <c r="H9" s="9"/>
      <c r="I9" s="30"/>
      <c r="J9" s="30" t="s">
        <v>196</v>
      </c>
      <c r="K9" s="6" t="s">
        <v>181</v>
      </c>
      <c r="L9" s="6" t="s">
        <v>222</v>
      </c>
      <c r="M9" s="6" t="s">
        <v>1</v>
      </c>
      <c r="N9" s="6" t="s">
        <v>14</v>
      </c>
      <c r="O9" s="6"/>
    </row>
    <row r="10" spans="1:15" ht="30">
      <c r="A10" s="10">
        <v>7</v>
      </c>
      <c r="B10" s="6" t="s">
        <v>39</v>
      </c>
      <c r="C10" s="6" t="s">
        <v>39</v>
      </c>
      <c r="D10" s="30" t="s">
        <v>242</v>
      </c>
      <c r="E10" s="30" t="s">
        <v>10</v>
      </c>
      <c r="F10" s="6">
        <v>24080</v>
      </c>
      <c r="G10" s="9"/>
      <c r="H10" s="9"/>
      <c r="I10" s="30"/>
      <c r="J10" s="30" t="s">
        <v>196</v>
      </c>
      <c r="K10" s="6" t="s">
        <v>181</v>
      </c>
      <c r="L10" s="6" t="s">
        <v>222</v>
      </c>
      <c r="M10" s="6" t="s">
        <v>1</v>
      </c>
      <c r="N10" s="6" t="s">
        <v>1</v>
      </c>
      <c r="O10" s="6"/>
    </row>
    <row r="11" spans="1:15" ht="30">
      <c r="A11" s="10">
        <v>8</v>
      </c>
      <c r="B11" s="6" t="s">
        <v>38</v>
      </c>
      <c r="C11" s="6" t="s">
        <v>38</v>
      </c>
      <c r="D11" s="30" t="s">
        <v>241</v>
      </c>
      <c r="E11" s="30" t="s">
        <v>10</v>
      </c>
      <c r="F11" s="6">
        <v>24081</v>
      </c>
      <c r="G11" s="9"/>
      <c r="H11" s="9"/>
      <c r="I11" s="30"/>
      <c r="J11" s="30" t="s">
        <v>196</v>
      </c>
      <c r="K11" s="6" t="s">
        <v>181</v>
      </c>
      <c r="L11" s="6" t="s">
        <v>222</v>
      </c>
      <c r="M11" s="6" t="s">
        <v>1</v>
      </c>
      <c r="N11" s="6" t="s">
        <v>1</v>
      </c>
      <c r="O11" s="6"/>
    </row>
    <row r="12" spans="1:15" ht="30">
      <c r="A12" s="10">
        <v>9</v>
      </c>
      <c r="B12" s="6" t="s">
        <v>37</v>
      </c>
      <c r="C12" s="6" t="s">
        <v>37</v>
      </c>
      <c r="D12" s="30" t="s">
        <v>240</v>
      </c>
      <c r="E12" s="30" t="s">
        <v>10</v>
      </c>
      <c r="F12" s="6">
        <v>24082</v>
      </c>
      <c r="G12" s="9"/>
      <c r="H12" s="9"/>
      <c r="I12" s="30"/>
      <c r="J12" s="30" t="s">
        <v>196</v>
      </c>
      <c r="K12" s="6" t="s">
        <v>181</v>
      </c>
      <c r="L12" s="6" t="s">
        <v>222</v>
      </c>
      <c r="M12" s="6" t="s">
        <v>1</v>
      </c>
      <c r="N12" s="6" t="s">
        <v>1</v>
      </c>
      <c r="O12" s="6"/>
    </row>
    <row r="13" spans="1:15">
      <c r="A13" s="10">
        <v>10</v>
      </c>
      <c r="B13" s="6" t="s">
        <v>20</v>
      </c>
      <c r="C13" s="6" t="s">
        <v>20</v>
      </c>
      <c r="D13" s="30" t="s">
        <v>19</v>
      </c>
      <c r="E13" s="30" t="s">
        <v>18</v>
      </c>
      <c r="F13" s="6">
        <v>24086</v>
      </c>
      <c r="G13" s="9"/>
      <c r="H13" s="9"/>
      <c r="I13" s="30"/>
      <c r="J13" s="30" t="s">
        <v>223</v>
      </c>
      <c r="K13" s="6" t="s">
        <v>181</v>
      </c>
      <c r="L13" s="6" t="s">
        <v>222</v>
      </c>
      <c r="M13" s="6" t="s">
        <v>14</v>
      </c>
      <c r="N13" s="6" t="s">
        <v>14</v>
      </c>
      <c r="O13" s="6"/>
    </row>
    <row r="14" spans="1:15">
      <c r="A14" s="2">
        <v>11</v>
      </c>
      <c r="B14" t="s">
        <v>29</v>
      </c>
      <c r="C14" t="s">
        <v>29</v>
      </c>
      <c r="D14" s="29" t="s">
        <v>239</v>
      </c>
      <c r="E14" s="29"/>
      <c r="F14">
        <v>24087</v>
      </c>
      <c r="I14" s="29"/>
      <c r="J14" s="29" t="s">
        <v>223</v>
      </c>
      <c r="K14" t="s">
        <v>181</v>
      </c>
      <c r="L14" t="s">
        <v>222</v>
      </c>
      <c r="M14" t="s">
        <v>1</v>
      </c>
      <c r="N14" t="s">
        <v>1</v>
      </c>
    </row>
    <row r="15" spans="1:15">
      <c r="A15" s="2">
        <v>12</v>
      </c>
      <c r="B15" t="s">
        <v>28</v>
      </c>
      <c r="C15" t="s">
        <v>28</v>
      </c>
      <c r="D15" s="29" t="s">
        <v>238</v>
      </c>
      <c r="E15" s="29"/>
      <c r="F15">
        <v>24088</v>
      </c>
      <c r="I15" s="29"/>
      <c r="J15" s="29" t="s">
        <v>223</v>
      </c>
      <c r="K15" t="s">
        <v>181</v>
      </c>
      <c r="L15" t="s">
        <v>222</v>
      </c>
      <c r="M15" t="s">
        <v>1</v>
      </c>
      <c r="N15" t="s">
        <v>1</v>
      </c>
    </row>
    <row r="16" spans="1:15">
      <c r="A16" s="2">
        <v>13</v>
      </c>
      <c r="B16" t="s">
        <v>27</v>
      </c>
      <c r="C16" t="s">
        <v>27</v>
      </c>
      <c r="D16" s="29" t="s">
        <v>237</v>
      </c>
      <c r="E16" s="29"/>
      <c r="F16">
        <v>24089</v>
      </c>
      <c r="I16" s="29"/>
      <c r="J16" s="29" t="s">
        <v>223</v>
      </c>
      <c r="K16" t="s">
        <v>181</v>
      </c>
      <c r="L16" t="s">
        <v>222</v>
      </c>
      <c r="M16" t="s">
        <v>1</v>
      </c>
      <c r="N16" t="s">
        <v>1</v>
      </c>
    </row>
    <row r="17" spans="1:15">
      <c r="A17" s="10">
        <v>14</v>
      </c>
      <c r="B17" s="6" t="s">
        <v>17</v>
      </c>
      <c r="C17" s="6" t="s">
        <v>17</v>
      </c>
      <c r="D17" s="30" t="s">
        <v>16</v>
      </c>
      <c r="E17" s="30" t="s">
        <v>15</v>
      </c>
      <c r="F17" s="6">
        <v>24090</v>
      </c>
      <c r="G17" s="9"/>
      <c r="H17" s="9"/>
      <c r="I17" s="30"/>
      <c r="J17" s="30" t="s">
        <v>223</v>
      </c>
      <c r="K17" s="6" t="s">
        <v>181</v>
      </c>
      <c r="L17" s="6" t="s">
        <v>222</v>
      </c>
      <c r="M17" s="6" t="s">
        <v>14</v>
      </c>
      <c r="N17" s="6" t="s">
        <v>14</v>
      </c>
      <c r="O17" s="6"/>
    </row>
    <row r="18" spans="1:15">
      <c r="A18" s="2">
        <v>15</v>
      </c>
      <c r="B18" t="s">
        <v>26</v>
      </c>
      <c r="C18" t="s">
        <v>26</v>
      </c>
      <c r="D18" s="29" t="s">
        <v>236</v>
      </c>
      <c r="E18" s="29"/>
      <c r="F18">
        <v>24103</v>
      </c>
      <c r="I18" s="29"/>
      <c r="J18" s="29" t="s">
        <v>223</v>
      </c>
      <c r="K18" t="s">
        <v>181</v>
      </c>
      <c r="L18" t="s">
        <v>222</v>
      </c>
      <c r="M18" t="s">
        <v>1</v>
      </c>
      <c r="N18" t="s">
        <v>1</v>
      </c>
    </row>
    <row r="19" spans="1:15">
      <c r="A19" s="2">
        <v>16</v>
      </c>
      <c r="B19" t="s">
        <v>25</v>
      </c>
      <c r="C19" t="s">
        <v>25</v>
      </c>
      <c r="D19" s="29" t="s">
        <v>236</v>
      </c>
      <c r="E19" s="29"/>
      <c r="F19">
        <v>24104</v>
      </c>
      <c r="I19" s="29"/>
      <c r="J19" s="29" t="s">
        <v>223</v>
      </c>
      <c r="K19" t="s">
        <v>181</v>
      </c>
      <c r="L19" t="s">
        <v>222</v>
      </c>
      <c r="M19" t="s">
        <v>1</v>
      </c>
      <c r="N19" t="s">
        <v>1</v>
      </c>
    </row>
    <row r="20" spans="1:15">
      <c r="A20" s="2">
        <v>17</v>
      </c>
      <c r="B20" t="s">
        <v>24</v>
      </c>
      <c r="C20" t="s">
        <v>24</v>
      </c>
      <c r="D20" s="29" t="s">
        <v>236</v>
      </c>
      <c r="E20" s="29"/>
      <c r="F20">
        <v>24105</v>
      </c>
      <c r="I20" s="29"/>
      <c r="J20" s="29" t="s">
        <v>223</v>
      </c>
      <c r="K20" t="s">
        <v>181</v>
      </c>
      <c r="L20" t="s">
        <v>222</v>
      </c>
      <c r="M20" t="s">
        <v>1</v>
      </c>
      <c r="N20" t="s">
        <v>1</v>
      </c>
    </row>
    <row r="21" spans="1:15">
      <c r="A21" s="10">
        <v>18</v>
      </c>
      <c r="B21" s="6" t="s">
        <v>23</v>
      </c>
      <c r="C21" s="6" t="s">
        <v>23</v>
      </c>
      <c r="D21" s="30" t="s">
        <v>22</v>
      </c>
      <c r="E21" s="30" t="s">
        <v>21</v>
      </c>
      <c r="F21" s="6">
        <v>24085</v>
      </c>
      <c r="G21" s="9"/>
      <c r="H21" s="9"/>
      <c r="I21" s="30"/>
      <c r="J21" s="30" t="s">
        <v>223</v>
      </c>
      <c r="K21" s="6" t="s">
        <v>181</v>
      </c>
      <c r="L21" s="6" t="s">
        <v>222</v>
      </c>
      <c r="M21" s="6" t="s">
        <v>14</v>
      </c>
      <c r="N21" s="6" t="s">
        <v>14</v>
      </c>
      <c r="O21" s="6"/>
    </row>
    <row r="22" spans="1:15">
      <c r="A22" s="2">
        <v>19</v>
      </c>
      <c r="B22" t="s">
        <v>32</v>
      </c>
      <c r="C22" t="s">
        <v>32</v>
      </c>
      <c r="D22" s="29" t="s">
        <v>235</v>
      </c>
      <c r="F22">
        <v>24096</v>
      </c>
      <c r="I22" s="29"/>
      <c r="J22" s="29" t="s">
        <v>223</v>
      </c>
      <c r="K22" t="s">
        <v>181</v>
      </c>
      <c r="L22" t="s">
        <v>222</v>
      </c>
      <c r="M22" t="s">
        <v>1</v>
      </c>
      <c r="N22" t="s">
        <v>1</v>
      </c>
    </row>
    <row r="23" spans="1:15">
      <c r="A23" s="2">
        <v>20</v>
      </c>
      <c r="B23" t="s">
        <v>31</v>
      </c>
      <c r="C23" t="s">
        <v>31</v>
      </c>
      <c r="D23" s="29" t="s">
        <v>234</v>
      </c>
      <c r="F23">
        <v>24097</v>
      </c>
      <c r="I23" s="29"/>
      <c r="J23" s="29" t="s">
        <v>223</v>
      </c>
      <c r="K23" t="s">
        <v>181</v>
      </c>
      <c r="L23" t="s">
        <v>222</v>
      </c>
      <c r="M23" t="s">
        <v>1</v>
      </c>
      <c r="N23" t="s">
        <v>1</v>
      </c>
    </row>
    <row r="24" spans="1:15">
      <c r="A24" s="2">
        <v>21</v>
      </c>
      <c r="B24" t="s">
        <v>30</v>
      </c>
      <c r="C24" t="s">
        <v>30</v>
      </c>
      <c r="D24" s="29" t="s">
        <v>233</v>
      </c>
      <c r="F24">
        <v>24098</v>
      </c>
      <c r="I24" s="29"/>
      <c r="J24" s="29" t="s">
        <v>223</v>
      </c>
      <c r="K24" t="s">
        <v>181</v>
      </c>
      <c r="L24" t="s">
        <v>222</v>
      </c>
      <c r="M24" t="s">
        <v>1</v>
      </c>
      <c r="N24" t="s">
        <v>1</v>
      </c>
    </row>
    <row r="25" spans="1:15">
      <c r="A25" s="10">
        <v>22</v>
      </c>
      <c r="B25" s="6" t="s">
        <v>232</v>
      </c>
      <c r="C25" s="6" t="s">
        <v>232</v>
      </c>
      <c r="D25" s="30" t="s">
        <v>231</v>
      </c>
      <c r="E25" s="30" t="s">
        <v>230</v>
      </c>
      <c r="F25" s="6">
        <v>24114</v>
      </c>
      <c r="G25" s="9"/>
      <c r="H25" s="9"/>
      <c r="I25" s="30"/>
      <c r="J25" s="30" t="s">
        <v>223</v>
      </c>
      <c r="K25" s="6" t="s">
        <v>181</v>
      </c>
      <c r="L25" s="6" t="s">
        <v>222</v>
      </c>
      <c r="M25" s="6" t="s">
        <v>14</v>
      </c>
      <c r="N25" s="6" t="s">
        <v>14</v>
      </c>
      <c r="O25" s="6"/>
    </row>
    <row r="26" spans="1:15">
      <c r="A26" s="2">
        <v>23</v>
      </c>
      <c r="B26" t="s">
        <v>229</v>
      </c>
      <c r="C26" t="s">
        <v>229</v>
      </c>
      <c r="D26" s="29" t="s">
        <v>228</v>
      </c>
      <c r="F26">
        <v>24115</v>
      </c>
      <c r="I26" s="29"/>
      <c r="J26" s="29" t="s">
        <v>223</v>
      </c>
      <c r="K26" t="s">
        <v>181</v>
      </c>
      <c r="L26" t="s">
        <v>222</v>
      </c>
      <c r="M26" t="s">
        <v>1</v>
      </c>
      <c r="N26" t="s">
        <v>1</v>
      </c>
    </row>
    <row r="27" spans="1:15">
      <c r="A27" s="2">
        <v>24</v>
      </c>
      <c r="B27" t="s">
        <v>227</v>
      </c>
      <c r="C27" t="s">
        <v>227</v>
      </c>
      <c r="D27" s="29" t="s">
        <v>226</v>
      </c>
      <c r="F27">
        <v>24116</v>
      </c>
      <c r="I27" s="29"/>
      <c r="J27" s="29" t="s">
        <v>223</v>
      </c>
      <c r="K27" t="s">
        <v>181</v>
      </c>
      <c r="L27" t="s">
        <v>222</v>
      </c>
      <c r="M27" t="s">
        <v>1</v>
      </c>
      <c r="N27" t="s">
        <v>1</v>
      </c>
    </row>
    <row r="28" spans="1:15">
      <c r="A28" s="2">
        <v>25</v>
      </c>
      <c r="B28" t="s">
        <v>225</v>
      </c>
      <c r="C28" t="s">
        <v>225</v>
      </c>
      <c r="D28" s="29" t="s">
        <v>224</v>
      </c>
      <c r="F28">
        <v>24117</v>
      </c>
      <c r="I28" s="29"/>
      <c r="J28" s="29" t="s">
        <v>223</v>
      </c>
      <c r="K28" t="s">
        <v>181</v>
      </c>
      <c r="L28" t="s">
        <v>222</v>
      </c>
      <c r="M28" t="s">
        <v>1</v>
      </c>
      <c r="N28" t="s">
        <v>1</v>
      </c>
    </row>
    <row r="29" spans="1:15">
      <c r="A29" s="10">
        <v>26</v>
      </c>
      <c r="B29" s="6" t="s">
        <v>13</v>
      </c>
      <c r="C29" s="6" t="s">
        <v>13</v>
      </c>
      <c r="D29" s="30" t="s">
        <v>12</v>
      </c>
      <c r="E29" s="30" t="s">
        <v>11</v>
      </c>
      <c r="F29" s="6">
        <v>24118</v>
      </c>
      <c r="G29" s="9"/>
      <c r="H29" s="9"/>
      <c r="I29" s="30"/>
      <c r="J29" s="30" t="s">
        <v>196</v>
      </c>
      <c r="K29" s="6" t="s">
        <v>181</v>
      </c>
      <c r="L29" s="6" t="s">
        <v>222</v>
      </c>
      <c r="M29" s="6" t="s">
        <v>14</v>
      </c>
      <c r="N29" s="6" t="s">
        <v>14</v>
      </c>
      <c r="O29" s="6"/>
    </row>
    <row r="30" spans="1:15" ht="30">
      <c r="A30" s="2">
        <v>27</v>
      </c>
      <c r="B30" t="s">
        <v>221</v>
      </c>
      <c r="C30" t="s">
        <v>221</v>
      </c>
      <c r="D30" s="29" t="s">
        <v>220</v>
      </c>
      <c r="F30">
        <v>24123</v>
      </c>
      <c r="I30" s="29"/>
      <c r="J30" s="29" t="s">
        <v>213</v>
      </c>
      <c r="K30" t="s">
        <v>212</v>
      </c>
      <c r="L30" t="s">
        <v>180</v>
      </c>
      <c r="M30" t="s">
        <v>14</v>
      </c>
      <c r="N30" t="s">
        <v>1</v>
      </c>
    </row>
    <row r="31" spans="1:15" ht="30">
      <c r="A31" s="2">
        <v>28</v>
      </c>
      <c r="B31" t="s">
        <v>219</v>
      </c>
      <c r="C31" t="s">
        <v>219</v>
      </c>
      <c r="D31" s="29" t="s">
        <v>218</v>
      </c>
      <c r="E31" s="29"/>
      <c r="F31">
        <v>24125</v>
      </c>
      <c r="I31" s="29"/>
      <c r="J31" s="29" t="s">
        <v>213</v>
      </c>
      <c r="K31" t="s">
        <v>212</v>
      </c>
      <c r="L31" t="s">
        <v>180</v>
      </c>
      <c r="M31" t="s">
        <v>14</v>
      </c>
      <c r="N31" t="s">
        <v>1</v>
      </c>
    </row>
    <row r="32" spans="1:15" ht="30">
      <c r="A32" s="2">
        <v>29</v>
      </c>
      <c r="B32" t="s">
        <v>217</v>
      </c>
      <c r="C32" t="s">
        <v>217</v>
      </c>
      <c r="D32" s="29" t="s">
        <v>216</v>
      </c>
      <c r="F32">
        <v>24127</v>
      </c>
      <c r="I32" s="29"/>
      <c r="J32" s="29" t="s">
        <v>213</v>
      </c>
      <c r="K32" t="s">
        <v>212</v>
      </c>
      <c r="L32" t="s">
        <v>180</v>
      </c>
      <c r="M32" t="s">
        <v>14</v>
      </c>
      <c r="N32" t="s">
        <v>1</v>
      </c>
    </row>
    <row r="33" spans="1:15" ht="30">
      <c r="A33" s="2">
        <v>30</v>
      </c>
      <c r="B33" t="s">
        <v>215</v>
      </c>
      <c r="C33" t="s">
        <v>215</v>
      </c>
      <c r="D33" s="29" t="s">
        <v>214</v>
      </c>
      <c r="E33" s="29"/>
      <c r="F33">
        <v>24129</v>
      </c>
      <c r="I33" s="29"/>
      <c r="J33" s="29" t="s">
        <v>213</v>
      </c>
      <c r="K33" t="s">
        <v>212</v>
      </c>
      <c r="L33" t="s">
        <v>180</v>
      </c>
      <c r="M33" t="s">
        <v>14</v>
      </c>
      <c r="N33" t="s">
        <v>1</v>
      </c>
    </row>
    <row r="34" spans="1:15">
      <c r="B34"/>
      <c r="D34" s="29"/>
      <c r="E34" s="29"/>
      <c r="I34" s="29"/>
      <c r="J34" s="29"/>
    </row>
    <row r="35" spans="1:15" ht="18.75">
      <c r="A35" s="80" t="s">
        <v>211</v>
      </c>
      <c r="B35" s="81"/>
      <c r="C35" s="82"/>
      <c r="D35" s="82"/>
      <c r="E35" s="82"/>
      <c r="F35" s="82"/>
      <c r="G35" s="82"/>
      <c r="H35" s="82"/>
      <c r="I35" s="82"/>
      <c r="J35" s="82"/>
      <c r="K35" s="83"/>
      <c r="L35" s="83"/>
      <c r="M35" s="83"/>
      <c r="N35" s="83"/>
      <c r="O35" s="84"/>
    </row>
    <row r="36" spans="1:15" ht="75">
      <c r="A36" s="15" t="s">
        <v>9</v>
      </c>
      <c r="B36" s="16" t="s">
        <v>171</v>
      </c>
      <c r="C36" s="15" t="s">
        <v>210</v>
      </c>
      <c r="D36" s="15" t="s">
        <v>7</v>
      </c>
      <c r="E36" s="15"/>
      <c r="F36" s="16" t="s">
        <v>41</v>
      </c>
      <c r="G36" s="28" t="s">
        <v>209</v>
      </c>
      <c r="H36" s="28"/>
      <c r="I36" s="16" t="s">
        <v>3</v>
      </c>
      <c r="J36" s="16" t="s">
        <v>208</v>
      </c>
      <c r="K36" s="16" t="s">
        <v>207</v>
      </c>
      <c r="L36" s="16" t="s">
        <v>206</v>
      </c>
      <c r="M36" s="16" t="s">
        <v>167</v>
      </c>
      <c r="N36" s="16" t="s">
        <v>205</v>
      </c>
      <c r="O36" s="15" t="s">
        <v>165</v>
      </c>
    </row>
    <row r="37" spans="1:15" ht="30">
      <c r="A37" s="26">
        <v>1</v>
      </c>
      <c r="B37" s="23" t="s">
        <v>204</v>
      </c>
      <c r="C37" s="23" t="s">
        <v>204</v>
      </c>
      <c r="D37" s="24" t="s">
        <v>203</v>
      </c>
      <c r="E37" s="24"/>
      <c r="F37" s="23">
        <v>23298</v>
      </c>
      <c r="G37" s="27"/>
      <c r="H37" s="27"/>
      <c r="I37" s="24"/>
      <c r="J37" s="24" t="s">
        <v>196</v>
      </c>
      <c r="K37" s="23" t="s">
        <v>181</v>
      </c>
      <c r="L37" s="23" t="s">
        <v>180</v>
      </c>
      <c r="M37" s="23" t="s">
        <v>14</v>
      </c>
      <c r="N37" s="23" t="s">
        <v>1</v>
      </c>
      <c r="O37" s="23"/>
    </row>
    <row r="38" spans="1:15" ht="30">
      <c r="A38" s="26">
        <v>2</v>
      </c>
      <c r="B38" s="23" t="s">
        <v>202</v>
      </c>
      <c r="C38" s="23" t="s">
        <v>202</v>
      </c>
      <c r="D38" s="24" t="s">
        <v>201</v>
      </c>
      <c r="E38" s="24"/>
      <c r="F38" s="23">
        <v>23306</v>
      </c>
      <c r="G38" s="27"/>
      <c r="H38" s="27"/>
      <c r="I38" s="24"/>
      <c r="J38" s="24" t="s">
        <v>196</v>
      </c>
      <c r="K38" s="23" t="s">
        <v>181</v>
      </c>
      <c r="L38" s="23" t="s">
        <v>180</v>
      </c>
      <c r="M38" s="23" t="s">
        <v>14</v>
      </c>
      <c r="N38" s="23" t="s">
        <v>1</v>
      </c>
      <c r="O38" s="23"/>
    </row>
    <row r="39" spans="1:15" ht="30">
      <c r="A39" s="26">
        <v>3</v>
      </c>
      <c r="B39" s="23" t="s">
        <v>200</v>
      </c>
      <c r="C39" s="23" t="s">
        <v>200</v>
      </c>
      <c r="D39" s="24" t="s">
        <v>199</v>
      </c>
      <c r="E39" s="24"/>
      <c r="F39" s="23">
        <v>23307</v>
      </c>
      <c r="G39" s="27"/>
      <c r="H39" s="27"/>
      <c r="I39" s="24"/>
      <c r="J39" s="24" t="s">
        <v>196</v>
      </c>
      <c r="K39" s="23" t="s">
        <v>181</v>
      </c>
      <c r="L39" s="23" t="s">
        <v>180</v>
      </c>
      <c r="M39" s="23" t="s">
        <v>14</v>
      </c>
      <c r="N39" s="23" t="s">
        <v>1</v>
      </c>
      <c r="O39" s="23"/>
    </row>
    <row r="40" spans="1:15" ht="30">
      <c r="A40" s="26">
        <v>4</v>
      </c>
      <c r="B40" s="23" t="s">
        <v>198</v>
      </c>
      <c r="C40" s="23" t="s">
        <v>198</v>
      </c>
      <c r="D40" s="24" t="s">
        <v>197</v>
      </c>
      <c r="E40" s="24"/>
      <c r="F40" s="23">
        <v>23308</v>
      </c>
      <c r="G40" s="27"/>
      <c r="H40" s="27"/>
      <c r="I40" s="24"/>
      <c r="J40" s="24" t="s">
        <v>196</v>
      </c>
      <c r="K40" s="23" t="s">
        <v>181</v>
      </c>
      <c r="L40" s="23" t="s">
        <v>180</v>
      </c>
      <c r="M40" s="23" t="s">
        <v>14</v>
      </c>
      <c r="N40" s="23" t="s">
        <v>1</v>
      </c>
      <c r="O40" s="23"/>
    </row>
    <row r="41" spans="1:15" ht="45">
      <c r="A41" s="26">
        <v>5</v>
      </c>
      <c r="B41" s="23" t="s">
        <v>195</v>
      </c>
      <c r="C41" s="23" t="s">
        <v>195</v>
      </c>
      <c r="D41" s="24" t="s">
        <v>194</v>
      </c>
      <c r="E41" s="24"/>
      <c r="F41" s="23">
        <v>24122</v>
      </c>
      <c r="G41" s="25" t="s">
        <v>182</v>
      </c>
      <c r="H41" s="25"/>
      <c r="I41" s="24"/>
      <c r="J41" s="24" t="s">
        <v>190</v>
      </c>
      <c r="K41" s="23" t="s">
        <v>181</v>
      </c>
      <c r="L41" s="23" t="s">
        <v>180</v>
      </c>
      <c r="M41" s="23" t="s">
        <v>1</v>
      </c>
      <c r="N41" s="23" t="s">
        <v>14</v>
      </c>
      <c r="O41" s="23"/>
    </row>
    <row r="42" spans="1:15" ht="45">
      <c r="A42" s="26">
        <v>6</v>
      </c>
      <c r="B42" s="23" t="s">
        <v>193</v>
      </c>
      <c r="C42" s="23" t="s">
        <v>193</v>
      </c>
      <c r="D42" s="24" t="s">
        <v>192</v>
      </c>
      <c r="E42" s="24"/>
      <c r="F42" s="23">
        <v>24123</v>
      </c>
      <c r="G42" s="25" t="s">
        <v>191</v>
      </c>
      <c r="H42" s="25"/>
      <c r="I42" s="24"/>
      <c r="J42" s="24" t="s">
        <v>190</v>
      </c>
      <c r="K42" s="23" t="s">
        <v>181</v>
      </c>
      <c r="L42" s="23" t="s">
        <v>180</v>
      </c>
      <c r="M42" s="23" t="s">
        <v>1</v>
      </c>
      <c r="N42" s="23" t="s">
        <v>14</v>
      </c>
      <c r="O42" s="23"/>
    </row>
    <row r="43" spans="1:15">
      <c r="A43" s="26">
        <v>7</v>
      </c>
      <c r="B43" s="23" t="s">
        <v>189</v>
      </c>
      <c r="C43" s="23" t="s">
        <v>189</v>
      </c>
      <c r="D43" s="24" t="s">
        <v>188</v>
      </c>
      <c r="E43" s="24"/>
      <c r="F43" s="23">
        <v>23317</v>
      </c>
      <c r="G43" s="25" t="s">
        <v>182</v>
      </c>
      <c r="H43" s="25"/>
      <c r="I43" s="24">
        <v>0</v>
      </c>
      <c r="J43" s="24"/>
      <c r="K43" s="23" t="s">
        <v>181</v>
      </c>
      <c r="L43" s="23" t="s">
        <v>180</v>
      </c>
      <c r="M43" s="23" t="s">
        <v>1</v>
      </c>
      <c r="N43" s="23" t="s">
        <v>14</v>
      </c>
      <c r="O43" s="23"/>
    </row>
    <row r="44" spans="1:15" ht="30">
      <c r="A44" s="26">
        <v>8</v>
      </c>
      <c r="B44" s="23" t="s">
        <v>187</v>
      </c>
      <c r="C44" s="23" t="s">
        <v>186</v>
      </c>
      <c r="D44" s="24" t="s">
        <v>185</v>
      </c>
      <c r="E44" s="24"/>
      <c r="F44" s="23">
        <v>23317</v>
      </c>
      <c r="G44" s="25" t="s">
        <v>182</v>
      </c>
      <c r="H44" s="25"/>
      <c r="I44" s="24">
        <v>1</v>
      </c>
      <c r="J44" s="24"/>
      <c r="K44" s="23" t="s">
        <v>181</v>
      </c>
      <c r="L44" s="23" t="s">
        <v>180</v>
      </c>
      <c r="M44" s="23" t="s">
        <v>1</v>
      </c>
      <c r="N44" s="23" t="s">
        <v>14</v>
      </c>
      <c r="O44" s="23"/>
    </row>
    <row r="45" spans="1:15">
      <c r="A45" s="26">
        <v>9</v>
      </c>
      <c r="B45" s="23" t="s">
        <v>184</v>
      </c>
      <c r="C45" s="23" t="s">
        <v>184</v>
      </c>
      <c r="D45" s="24" t="s">
        <v>183</v>
      </c>
      <c r="E45" s="24"/>
      <c r="F45" s="23">
        <v>23317</v>
      </c>
      <c r="G45" s="25" t="s">
        <v>182</v>
      </c>
      <c r="H45" s="25"/>
      <c r="I45" s="24">
        <v>2</v>
      </c>
      <c r="J45" s="24"/>
      <c r="K45" s="23" t="s">
        <v>181</v>
      </c>
      <c r="L45" s="23" t="s">
        <v>180</v>
      </c>
      <c r="M45" s="23" t="s">
        <v>1</v>
      </c>
      <c r="N45" s="23" t="s">
        <v>14</v>
      </c>
      <c r="O45" s="23"/>
    </row>
    <row r="46" spans="1:15" s="5" customFormat="1">
      <c r="A46" s="22">
        <v>10</v>
      </c>
      <c r="B46" s="19"/>
      <c r="C46" s="19" t="s">
        <v>179</v>
      </c>
      <c r="D46" s="20"/>
      <c r="E46" s="20"/>
      <c r="F46" s="19"/>
      <c r="G46" s="21"/>
      <c r="H46" s="21"/>
      <c r="I46" s="20" t="s">
        <v>176</v>
      </c>
      <c r="J46" s="20"/>
      <c r="K46" s="19" t="s">
        <v>173</v>
      </c>
      <c r="L46" s="19"/>
      <c r="M46" s="19"/>
      <c r="N46" s="19"/>
      <c r="O46" s="85" t="s">
        <v>178</v>
      </c>
    </row>
    <row r="47" spans="1:15" s="5" customFormat="1">
      <c r="A47" s="22">
        <v>11</v>
      </c>
      <c r="B47" s="19"/>
      <c r="C47" s="19" t="s">
        <v>177</v>
      </c>
      <c r="D47" s="20"/>
      <c r="E47" s="20"/>
      <c r="F47" s="19"/>
      <c r="G47" s="21"/>
      <c r="H47" s="21"/>
      <c r="I47" s="20" t="s">
        <v>176</v>
      </c>
      <c r="J47" s="20"/>
      <c r="K47" s="19" t="s">
        <v>173</v>
      </c>
      <c r="L47" s="19"/>
      <c r="M47" s="19"/>
      <c r="N47" s="19"/>
      <c r="O47" s="86"/>
    </row>
    <row r="48" spans="1:15" s="5" customFormat="1" ht="60">
      <c r="A48" s="22">
        <v>12</v>
      </c>
      <c r="B48" s="19"/>
      <c r="C48" s="19" t="s">
        <v>175</v>
      </c>
      <c r="D48" s="20"/>
      <c r="E48" s="20"/>
      <c r="F48" s="19"/>
      <c r="G48" s="21"/>
      <c r="H48" s="21"/>
      <c r="I48" s="20" t="s">
        <v>174</v>
      </c>
      <c r="J48" s="20"/>
      <c r="K48" s="19" t="s">
        <v>173</v>
      </c>
      <c r="L48" s="19"/>
      <c r="M48" s="19"/>
      <c r="N48" s="19"/>
      <c r="O48" s="87"/>
    </row>
    <row r="50" spans="1:16" ht="18.75">
      <c r="A50" s="80" t="s">
        <v>172</v>
      </c>
      <c r="B50" s="81"/>
      <c r="C50" s="82"/>
      <c r="D50" s="82"/>
      <c r="E50" s="82"/>
      <c r="F50" s="82"/>
      <c r="G50" s="82"/>
      <c r="H50" s="82"/>
      <c r="I50" s="82"/>
      <c r="J50" s="82"/>
      <c r="K50" s="83"/>
      <c r="L50" s="83"/>
      <c r="M50" s="83"/>
      <c r="N50" s="83"/>
      <c r="O50" s="84"/>
    </row>
    <row r="51" spans="1:16" ht="45">
      <c r="A51" s="18" t="s">
        <v>9</v>
      </c>
      <c r="B51" s="16" t="s">
        <v>171</v>
      </c>
      <c r="C51" s="15" t="s">
        <v>8</v>
      </c>
      <c r="D51" s="15" t="s">
        <v>7</v>
      </c>
      <c r="E51" s="15"/>
      <c r="F51" s="15" t="s">
        <v>6</v>
      </c>
      <c r="G51" s="17" t="s">
        <v>4</v>
      </c>
      <c r="H51" s="17"/>
      <c r="I51" s="16" t="s">
        <v>170</v>
      </c>
      <c r="J51" s="15" t="s">
        <v>5</v>
      </c>
      <c r="K51" s="16" t="s">
        <v>169</v>
      </c>
      <c r="L51" s="16" t="s">
        <v>168</v>
      </c>
      <c r="M51" s="16" t="s">
        <v>167</v>
      </c>
      <c r="N51" s="16" t="s">
        <v>166</v>
      </c>
      <c r="O51" s="15" t="s">
        <v>165</v>
      </c>
    </row>
    <row r="52" spans="1:16">
      <c r="A52" s="10">
        <v>1</v>
      </c>
      <c r="B52" s="73" t="s">
        <v>164</v>
      </c>
      <c r="C52" s="6" t="s">
        <v>163</v>
      </c>
      <c r="D52" s="6" t="s">
        <v>162</v>
      </c>
      <c r="E52" s="6"/>
      <c r="F52" s="7">
        <v>1</v>
      </c>
      <c r="G52" s="9" t="s">
        <v>47</v>
      </c>
      <c r="H52" s="9" t="s">
        <v>256</v>
      </c>
      <c r="I52" s="8" t="s">
        <v>151</v>
      </c>
      <c r="J52" s="6" t="s">
        <v>46</v>
      </c>
      <c r="K52" s="7" t="s">
        <v>137</v>
      </c>
      <c r="L52" s="7" t="s">
        <v>1</v>
      </c>
      <c r="M52" s="7" t="s">
        <v>14</v>
      </c>
      <c r="N52" s="6" t="s">
        <v>43</v>
      </c>
      <c r="O52" s="6" t="s">
        <v>161</v>
      </c>
    </row>
    <row r="53" spans="1:16">
      <c r="A53" s="10">
        <v>2</v>
      </c>
      <c r="B53" s="73"/>
      <c r="C53" s="6" t="s">
        <v>160</v>
      </c>
      <c r="D53" s="6" t="s">
        <v>159</v>
      </c>
      <c r="E53" s="6"/>
      <c r="F53" s="7">
        <v>1</v>
      </c>
      <c r="G53" s="9"/>
      <c r="H53" s="9"/>
      <c r="I53" s="8" t="s">
        <v>148</v>
      </c>
      <c r="J53" s="6" t="s">
        <v>46</v>
      </c>
      <c r="K53" s="7" t="s">
        <v>137</v>
      </c>
      <c r="L53" s="7" t="s">
        <v>1</v>
      </c>
      <c r="M53" s="7" t="s">
        <v>14</v>
      </c>
      <c r="N53" s="6" t="s">
        <v>43</v>
      </c>
      <c r="O53" s="6"/>
      <c r="P53" s="72"/>
    </row>
    <row r="54" spans="1:16">
      <c r="A54" s="10">
        <v>3</v>
      </c>
      <c r="B54" s="73"/>
      <c r="C54" s="6" t="s">
        <v>158</v>
      </c>
      <c r="D54" s="6" t="s">
        <v>157</v>
      </c>
      <c r="E54" s="6"/>
      <c r="F54" s="7">
        <v>1</v>
      </c>
      <c r="G54" s="9"/>
      <c r="H54" s="9"/>
      <c r="I54" s="8" t="s">
        <v>145</v>
      </c>
      <c r="J54" s="6" t="s">
        <v>46</v>
      </c>
      <c r="K54" s="7" t="s">
        <v>137</v>
      </c>
      <c r="L54" s="7" t="s">
        <v>1</v>
      </c>
      <c r="M54" s="7" t="s">
        <v>14</v>
      </c>
      <c r="N54" s="6" t="s">
        <v>43</v>
      </c>
      <c r="O54" s="6"/>
      <c r="P54" s="72"/>
    </row>
    <row r="55" spans="1:16">
      <c r="A55" s="10">
        <v>4</v>
      </c>
      <c r="B55" s="73"/>
      <c r="C55" s="6" t="s">
        <v>156</v>
      </c>
      <c r="D55" s="6" t="s">
        <v>155</v>
      </c>
      <c r="E55" s="6"/>
      <c r="F55" s="7">
        <v>1</v>
      </c>
      <c r="G55" s="9"/>
      <c r="H55" s="9"/>
      <c r="I55" s="8" t="s">
        <v>142</v>
      </c>
      <c r="J55" s="6" t="s">
        <v>46</v>
      </c>
      <c r="K55" s="7" t="s">
        <v>137</v>
      </c>
      <c r="L55" s="7" t="s">
        <v>1</v>
      </c>
      <c r="M55" s="7" t="s">
        <v>14</v>
      </c>
      <c r="N55" s="6" t="s">
        <v>43</v>
      </c>
      <c r="O55" s="6"/>
      <c r="P55" s="72"/>
    </row>
    <row r="56" spans="1:16">
      <c r="A56" s="10">
        <v>5</v>
      </c>
      <c r="B56" s="73" t="s">
        <v>154</v>
      </c>
      <c r="C56" s="6" t="s">
        <v>153</v>
      </c>
      <c r="D56" s="6" t="s">
        <v>152</v>
      </c>
      <c r="E56" s="6"/>
      <c r="F56" s="7">
        <v>1</v>
      </c>
      <c r="G56" s="9" t="s">
        <v>256</v>
      </c>
      <c r="H56" s="9" t="s">
        <v>256</v>
      </c>
      <c r="I56" s="8" t="s">
        <v>151</v>
      </c>
      <c r="J56" s="6" t="s">
        <v>46</v>
      </c>
      <c r="K56" s="7" t="s">
        <v>137</v>
      </c>
      <c r="L56" s="7" t="s">
        <v>1</v>
      </c>
      <c r="M56" s="7" t="s">
        <v>14</v>
      </c>
      <c r="N56" s="6" t="s">
        <v>43</v>
      </c>
      <c r="O56" s="6"/>
      <c r="P56" s="72"/>
    </row>
    <row r="57" spans="1:16">
      <c r="A57" s="10">
        <v>6</v>
      </c>
      <c r="B57" s="73"/>
      <c r="C57" s="6" t="s">
        <v>150</v>
      </c>
      <c r="D57" s="6" t="s">
        <v>149</v>
      </c>
      <c r="E57" s="6"/>
      <c r="F57" s="7">
        <v>1</v>
      </c>
      <c r="G57" s="9"/>
      <c r="H57" s="9"/>
      <c r="I57" s="8" t="s">
        <v>148</v>
      </c>
      <c r="J57" s="6" t="s">
        <v>46</v>
      </c>
      <c r="K57" s="7" t="s">
        <v>137</v>
      </c>
      <c r="L57" s="7" t="s">
        <v>1</v>
      </c>
      <c r="M57" s="7" t="s">
        <v>14</v>
      </c>
      <c r="N57" s="6" t="s">
        <v>43</v>
      </c>
      <c r="O57" s="6"/>
      <c r="P57" s="72"/>
    </row>
    <row r="58" spans="1:16">
      <c r="A58" s="10">
        <v>7</v>
      </c>
      <c r="B58" s="73"/>
      <c r="C58" s="6" t="s">
        <v>147</v>
      </c>
      <c r="D58" s="6" t="s">
        <v>146</v>
      </c>
      <c r="E58" s="6"/>
      <c r="F58" s="7">
        <v>1</v>
      </c>
      <c r="G58" s="9"/>
      <c r="H58" s="9"/>
      <c r="I58" s="8" t="s">
        <v>145</v>
      </c>
      <c r="J58" s="6" t="s">
        <v>46</v>
      </c>
      <c r="K58" s="7" t="s">
        <v>137</v>
      </c>
      <c r="L58" s="7" t="s">
        <v>1</v>
      </c>
      <c r="M58" s="7" t="s">
        <v>14</v>
      </c>
      <c r="N58" s="6" t="s">
        <v>43</v>
      </c>
      <c r="O58" s="6"/>
      <c r="P58" s="72"/>
    </row>
    <row r="59" spans="1:16">
      <c r="A59" s="10">
        <v>8</v>
      </c>
      <c r="B59" s="73"/>
      <c r="C59" s="6" t="s">
        <v>144</v>
      </c>
      <c r="D59" s="6" t="s">
        <v>143</v>
      </c>
      <c r="E59" s="6"/>
      <c r="F59" s="7">
        <v>1</v>
      </c>
      <c r="G59" s="9"/>
      <c r="H59" s="9"/>
      <c r="I59" s="8" t="s">
        <v>142</v>
      </c>
      <c r="J59" s="6" t="s">
        <v>46</v>
      </c>
      <c r="K59" s="7" t="s">
        <v>137</v>
      </c>
      <c r="L59" s="7" t="s">
        <v>1</v>
      </c>
      <c r="M59" s="7" t="s">
        <v>14</v>
      </c>
      <c r="N59" s="6" t="s">
        <v>43</v>
      </c>
      <c r="O59" s="6"/>
      <c r="P59" s="72"/>
    </row>
    <row r="60" spans="1:16">
      <c r="A60" s="2">
        <v>9</v>
      </c>
      <c r="B60" s="74" t="s">
        <v>141</v>
      </c>
      <c r="C60" t="s">
        <v>141</v>
      </c>
      <c r="D60" t="s">
        <v>139</v>
      </c>
      <c r="F60" s="3">
        <v>1</v>
      </c>
      <c r="G60" s="1" t="s">
        <v>138</v>
      </c>
      <c r="H60" s="1" t="s">
        <v>0</v>
      </c>
      <c r="I60" s="4" t="s">
        <v>0</v>
      </c>
      <c r="J60" t="s">
        <v>46</v>
      </c>
      <c r="K60" s="3" t="s">
        <v>137</v>
      </c>
      <c r="L60" s="3" t="s">
        <v>1</v>
      </c>
      <c r="M60" s="3" t="s">
        <v>14</v>
      </c>
      <c r="N60" t="s">
        <v>43</v>
      </c>
    </row>
    <row r="61" spans="1:16">
      <c r="A61" s="2">
        <v>10</v>
      </c>
      <c r="B61" s="74"/>
      <c r="C61" t="s">
        <v>140</v>
      </c>
      <c r="D61" t="s">
        <v>139</v>
      </c>
      <c r="F61" s="3">
        <v>1</v>
      </c>
      <c r="I61" s="4" t="s">
        <v>108</v>
      </c>
      <c r="J61" t="s">
        <v>46</v>
      </c>
      <c r="K61" s="3" t="s">
        <v>137</v>
      </c>
      <c r="L61" s="3" t="s">
        <v>1</v>
      </c>
      <c r="M61" s="3" t="s">
        <v>14</v>
      </c>
      <c r="N61" t="s">
        <v>43</v>
      </c>
    </row>
    <row r="62" spans="1:16">
      <c r="A62" s="2">
        <v>11</v>
      </c>
      <c r="B62" s="74" t="s">
        <v>136</v>
      </c>
      <c r="C62" t="s">
        <v>136</v>
      </c>
      <c r="D62" t="s">
        <v>134</v>
      </c>
      <c r="F62" s="3">
        <v>1</v>
      </c>
      <c r="G62" s="1" t="s">
        <v>133</v>
      </c>
      <c r="H62" s="1" t="s">
        <v>0</v>
      </c>
      <c r="I62" s="4" t="s">
        <v>112</v>
      </c>
      <c r="J62" t="s">
        <v>46</v>
      </c>
      <c r="K62" s="3" t="s">
        <v>132</v>
      </c>
      <c r="L62" s="3" t="s">
        <v>101</v>
      </c>
      <c r="M62" s="3" t="s">
        <v>14</v>
      </c>
      <c r="N62" t="s">
        <v>43</v>
      </c>
    </row>
    <row r="63" spans="1:16">
      <c r="A63" s="2">
        <v>12</v>
      </c>
      <c r="B63" s="74"/>
      <c r="C63" t="s">
        <v>135</v>
      </c>
      <c r="D63" t="s">
        <v>134</v>
      </c>
      <c r="F63" s="3">
        <v>1</v>
      </c>
      <c r="I63" s="4" t="s">
        <v>108</v>
      </c>
      <c r="J63" t="s">
        <v>46</v>
      </c>
      <c r="K63" s="3" t="s">
        <v>132</v>
      </c>
      <c r="L63" s="3" t="s">
        <v>101</v>
      </c>
      <c r="M63" s="3" t="s">
        <v>14</v>
      </c>
      <c r="N63" t="s">
        <v>43</v>
      </c>
    </row>
    <row r="64" spans="1:16">
      <c r="A64" s="2">
        <v>13</v>
      </c>
      <c r="B64" s="74" t="s">
        <v>131</v>
      </c>
      <c r="C64" t="s">
        <v>130</v>
      </c>
      <c r="D64" t="s">
        <v>128</v>
      </c>
      <c r="F64" s="3">
        <v>1</v>
      </c>
      <c r="G64" s="1" t="s">
        <v>127</v>
      </c>
      <c r="H64" s="1" t="s">
        <v>0</v>
      </c>
      <c r="I64" s="4" t="s">
        <v>112</v>
      </c>
      <c r="J64" t="s">
        <v>46</v>
      </c>
      <c r="K64" s="3" t="s">
        <v>102</v>
      </c>
      <c r="L64" s="3" t="s">
        <v>101</v>
      </c>
      <c r="M64" s="3" t="s">
        <v>14</v>
      </c>
      <c r="N64" t="s">
        <v>43</v>
      </c>
    </row>
    <row r="65" spans="1:14">
      <c r="A65" s="2">
        <v>13</v>
      </c>
      <c r="B65" s="74"/>
      <c r="C65" t="s">
        <v>129</v>
      </c>
      <c r="D65" t="s">
        <v>128</v>
      </c>
      <c r="F65" s="3">
        <v>1</v>
      </c>
      <c r="I65" s="4" t="s">
        <v>108</v>
      </c>
      <c r="J65" t="s">
        <v>46</v>
      </c>
      <c r="K65" s="3" t="s">
        <v>102</v>
      </c>
      <c r="L65" s="3" t="s">
        <v>101</v>
      </c>
      <c r="M65" s="3" t="s">
        <v>14</v>
      </c>
      <c r="N65" t="s">
        <v>43</v>
      </c>
    </row>
    <row r="66" spans="1:14">
      <c r="A66" s="2">
        <v>14</v>
      </c>
      <c r="B66" s="74" t="s">
        <v>126</v>
      </c>
      <c r="C66" t="s">
        <v>126</v>
      </c>
      <c r="D66" t="s">
        <v>124</v>
      </c>
      <c r="F66" s="3">
        <v>1</v>
      </c>
      <c r="G66" s="1" t="s">
        <v>123</v>
      </c>
      <c r="H66" s="1" t="s">
        <v>0</v>
      </c>
      <c r="I66" s="4" t="s">
        <v>112</v>
      </c>
      <c r="J66" t="s">
        <v>46</v>
      </c>
      <c r="K66" s="3" t="s">
        <v>45</v>
      </c>
      <c r="L66" s="3" t="s">
        <v>44</v>
      </c>
      <c r="M66" s="3" t="s">
        <v>14</v>
      </c>
      <c r="N66" t="s">
        <v>43</v>
      </c>
    </row>
    <row r="67" spans="1:14">
      <c r="A67" s="2">
        <v>14</v>
      </c>
      <c r="B67" s="74"/>
      <c r="C67" t="s">
        <v>125</v>
      </c>
      <c r="D67" t="s">
        <v>124</v>
      </c>
      <c r="F67" s="3">
        <v>1</v>
      </c>
      <c r="I67" s="4" t="s">
        <v>108</v>
      </c>
      <c r="J67" t="s">
        <v>46</v>
      </c>
      <c r="K67" s="3" t="s">
        <v>45</v>
      </c>
      <c r="L67" s="3" t="s">
        <v>44</v>
      </c>
      <c r="M67" s="3" t="s">
        <v>14</v>
      </c>
      <c r="N67" t="s">
        <v>43</v>
      </c>
    </row>
    <row r="68" spans="1:14">
      <c r="A68" s="2">
        <v>15</v>
      </c>
      <c r="B68" s="74" t="s">
        <v>122</v>
      </c>
      <c r="C68" t="s">
        <v>122</v>
      </c>
      <c r="D68" t="s">
        <v>120</v>
      </c>
      <c r="F68" s="3">
        <v>1</v>
      </c>
      <c r="G68" s="1" t="s">
        <v>119</v>
      </c>
      <c r="H68" s="1" t="s">
        <v>0</v>
      </c>
      <c r="I68" s="4" t="s">
        <v>112</v>
      </c>
      <c r="J68" t="s">
        <v>46</v>
      </c>
      <c r="K68" s="3" t="s">
        <v>45</v>
      </c>
      <c r="L68" s="3" t="s">
        <v>44</v>
      </c>
      <c r="M68" s="3" t="s">
        <v>14</v>
      </c>
      <c r="N68" t="s">
        <v>43</v>
      </c>
    </row>
    <row r="69" spans="1:14">
      <c r="A69" s="2">
        <v>15</v>
      </c>
      <c r="B69" s="74"/>
      <c r="C69" t="s">
        <v>121</v>
      </c>
      <c r="D69" t="s">
        <v>120</v>
      </c>
      <c r="F69" s="3">
        <v>1</v>
      </c>
      <c r="I69" s="4" t="s">
        <v>108</v>
      </c>
      <c r="J69" t="s">
        <v>46</v>
      </c>
      <c r="K69" s="3" t="s">
        <v>45</v>
      </c>
      <c r="L69" s="3" t="s">
        <v>44</v>
      </c>
      <c r="M69" s="3" t="s">
        <v>14</v>
      </c>
      <c r="N69" t="s">
        <v>43</v>
      </c>
    </row>
    <row r="70" spans="1:14">
      <c r="A70" s="2">
        <v>16</v>
      </c>
      <c r="B70" s="74" t="s">
        <v>118</v>
      </c>
      <c r="C70" t="s">
        <v>118</v>
      </c>
      <c r="D70" t="s">
        <v>116</v>
      </c>
      <c r="F70" s="3">
        <v>1</v>
      </c>
      <c r="G70" s="1" t="s">
        <v>115</v>
      </c>
      <c r="H70" s="1" t="s">
        <v>0</v>
      </c>
      <c r="I70" s="4" t="s">
        <v>112</v>
      </c>
      <c r="J70" t="s">
        <v>46</v>
      </c>
      <c r="K70" s="3" t="s">
        <v>45</v>
      </c>
      <c r="L70" s="3" t="s">
        <v>44</v>
      </c>
      <c r="M70" s="3" t="s">
        <v>14</v>
      </c>
      <c r="N70" t="s">
        <v>43</v>
      </c>
    </row>
    <row r="71" spans="1:14">
      <c r="A71" s="2">
        <v>16</v>
      </c>
      <c r="B71" s="74"/>
      <c r="C71" t="s">
        <v>117</v>
      </c>
      <c r="D71" t="s">
        <v>116</v>
      </c>
      <c r="F71" s="3">
        <v>1</v>
      </c>
      <c r="I71" s="4" t="s">
        <v>108</v>
      </c>
      <c r="J71" t="s">
        <v>46</v>
      </c>
      <c r="K71" s="3" t="s">
        <v>45</v>
      </c>
      <c r="L71" s="3" t="s">
        <v>44</v>
      </c>
      <c r="M71" s="3" t="s">
        <v>14</v>
      </c>
      <c r="N71" t="s">
        <v>43</v>
      </c>
    </row>
    <row r="72" spans="1:14">
      <c r="A72" s="2">
        <v>17</v>
      </c>
      <c r="B72" s="74" t="s">
        <v>114</v>
      </c>
      <c r="C72" t="s">
        <v>113</v>
      </c>
      <c r="D72" t="s">
        <v>110</v>
      </c>
      <c r="F72" s="3">
        <v>1</v>
      </c>
      <c r="G72" s="1" t="s">
        <v>109</v>
      </c>
      <c r="H72" s="1" t="s">
        <v>0</v>
      </c>
      <c r="I72" s="4" t="s">
        <v>112</v>
      </c>
      <c r="J72" t="s">
        <v>46</v>
      </c>
      <c r="K72" s="3" t="s">
        <v>102</v>
      </c>
      <c r="L72" s="3" t="s">
        <v>101</v>
      </c>
      <c r="M72" s="3" t="s">
        <v>14</v>
      </c>
      <c r="N72" t="s">
        <v>43</v>
      </c>
    </row>
    <row r="73" spans="1:14">
      <c r="A73" s="2">
        <v>17</v>
      </c>
      <c r="B73" s="74"/>
      <c r="C73" t="s">
        <v>111</v>
      </c>
      <c r="D73" t="s">
        <v>110</v>
      </c>
      <c r="F73" s="3">
        <v>1</v>
      </c>
      <c r="I73" s="4" t="s">
        <v>108</v>
      </c>
      <c r="J73" t="s">
        <v>46</v>
      </c>
      <c r="K73" s="3" t="s">
        <v>102</v>
      </c>
      <c r="L73" s="3" t="s">
        <v>101</v>
      </c>
      <c r="M73" s="3" t="s">
        <v>14</v>
      </c>
      <c r="N73" t="s">
        <v>43</v>
      </c>
    </row>
    <row r="74" spans="1:14">
      <c r="A74" s="2">
        <v>18</v>
      </c>
      <c r="B74" s="74" t="s">
        <v>107</v>
      </c>
      <c r="C74" t="s">
        <v>106</v>
      </c>
      <c r="D74" t="s">
        <v>104</v>
      </c>
      <c r="F74" s="3">
        <v>1</v>
      </c>
      <c r="G74" s="1" t="s">
        <v>103</v>
      </c>
      <c r="H74" s="1" t="s">
        <v>0</v>
      </c>
      <c r="I74" s="4" t="s">
        <v>0</v>
      </c>
      <c r="J74" t="s">
        <v>46</v>
      </c>
      <c r="K74" s="3" t="s">
        <v>102</v>
      </c>
      <c r="L74" s="3" t="s">
        <v>101</v>
      </c>
      <c r="M74" s="3" t="s">
        <v>14</v>
      </c>
      <c r="N74" t="s">
        <v>43</v>
      </c>
    </row>
    <row r="75" spans="1:14">
      <c r="A75" s="2">
        <v>18</v>
      </c>
      <c r="B75" s="74"/>
      <c r="C75" t="s">
        <v>105</v>
      </c>
      <c r="D75" t="s">
        <v>104</v>
      </c>
      <c r="F75" s="3">
        <v>1</v>
      </c>
      <c r="I75" s="4" t="s">
        <v>47</v>
      </c>
      <c r="J75" t="s">
        <v>46</v>
      </c>
      <c r="K75" s="3" t="s">
        <v>102</v>
      </c>
      <c r="L75" s="3" t="s">
        <v>101</v>
      </c>
      <c r="M75" s="3" t="s">
        <v>14</v>
      </c>
      <c r="N75" t="s">
        <v>43</v>
      </c>
    </row>
    <row r="76" spans="1:14">
      <c r="A76" s="10">
        <v>19</v>
      </c>
      <c r="B76" s="73" t="s">
        <v>100</v>
      </c>
      <c r="C76" s="6" t="s">
        <v>99</v>
      </c>
      <c r="D76" s="6" t="s">
        <v>98</v>
      </c>
      <c r="E76" s="6"/>
      <c r="F76" s="7">
        <v>1</v>
      </c>
      <c r="G76" s="9" t="s">
        <v>257</v>
      </c>
      <c r="H76" s="9" t="s">
        <v>258</v>
      </c>
      <c r="I76" s="8" t="s">
        <v>97</v>
      </c>
      <c r="J76" s="6" t="s">
        <v>46</v>
      </c>
      <c r="K76" s="7" t="s">
        <v>2</v>
      </c>
      <c r="L76" s="7" t="s">
        <v>1</v>
      </c>
      <c r="M76" s="7" t="s">
        <v>14</v>
      </c>
      <c r="N76" s="6" t="s">
        <v>43</v>
      </c>
    </row>
    <row r="77" spans="1:14">
      <c r="A77" s="10">
        <v>19</v>
      </c>
      <c r="B77" s="73"/>
      <c r="C77" s="6" t="s">
        <v>96</v>
      </c>
      <c r="D77" s="6" t="s">
        <v>95</v>
      </c>
      <c r="E77" s="6"/>
      <c r="F77" s="7">
        <v>1</v>
      </c>
      <c r="G77" s="9"/>
      <c r="H77" s="9"/>
      <c r="I77" s="8" t="s">
        <v>94</v>
      </c>
      <c r="J77" s="6" t="s">
        <v>46</v>
      </c>
      <c r="K77" s="7" t="s">
        <v>81</v>
      </c>
      <c r="L77" s="7" t="s">
        <v>80</v>
      </c>
      <c r="M77" s="7" t="s">
        <v>14</v>
      </c>
      <c r="N77" s="6" t="s">
        <v>43</v>
      </c>
    </row>
    <row r="78" spans="1:14">
      <c r="A78" s="10">
        <v>19</v>
      </c>
      <c r="B78" s="73"/>
      <c r="C78" s="6" t="s">
        <v>93</v>
      </c>
      <c r="D78" s="6" t="s">
        <v>92</v>
      </c>
      <c r="E78" s="6"/>
      <c r="F78" s="7">
        <v>1</v>
      </c>
      <c r="G78" s="9"/>
      <c r="H78" s="9"/>
      <c r="I78" s="8" t="s">
        <v>91</v>
      </c>
      <c r="J78" s="6" t="s">
        <v>46</v>
      </c>
      <c r="K78" s="7" t="s">
        <v>81</v>
      </c>
      <c r="L78" s="7" t="s">
        <v>80</v>
      </c>
      <c r="M78" s="7" t="s">
        <v>14</v>
      </c>
      <c r="N78" s="6" t="s">
        <v>43</v>
      </c>
    </row>
    <row r="79" spans="1:14">
      <c r="A79" s="10">
        <v>19</v>
      </c>
      <c r="B79" s="73"/>
      <c r="C79" s="6" t="s">
        <v>90</v>
      </c>
      <c r="D79" s="6" t="s">
        <v>89</v>
      </c>
      <c r="E79" s="6"/>
      <c r="F79" s="7">
        <v>1</v>
      </c>
      <c r="G79" s="9"/>
      <c r="H79" s="9"/>
      <c r="I79" s="8" t="s">
        <v>88</v>
      </c>
      <c r="J79" s="6" t="s">
        <v>46</v>
      </c>
      <c r="K79" s="7" t="s">
        <v>81</v>
      </c>
      <c r="L79" s="7" t="s">
        <v>80</v>
      </c>
      <c r="M79" s="7" t="s">
        <v>14</v>
      </c>
      <c r="N79" s="6" t="s">
        <v>43</v>
      </c>
    </row>
    <row r="80" spans="1:14">
      <c r="A80" s="10">
        <v>19</v>
      </c>
      <c r="B80" s="73"/>
      <c r="C80" s="6" t="s">
        <v>87</v>
      </c>
      <c r="D80" s="6" t="s">
        <v>86</v>
      </c>
      <c r="E80" s="6"/>
      <c r="F80" s="7">
        <v>1</v>
      </c>
      <c r="G80" s="9"/>
      <c r="H80" s="9"/>
      <c r="I80" s="8" t="s">
        <v>85</v>
      </c>
      <c r="J80" s="6" t="s">
        <v>46</v>
      </c>
      <c r="K80" s="7" t="s">
        <v>81</v>
      </c>
      <c r="L80" s="7" t="s">
        <v>80</v>
      </c>
      <c r="M80" s="7" t="s">
        <v>14</v>
      </c>
      <c r="N80" s="6" t="s">
        <v>43</v>
      </c>
    </row>
    <row r="81" spans="1:15">
      <c r="A81" s="10">
        <v>19</v>
      </c>
      <c r="B81" s="73"/>
      <c r="C81" s="6" t="s">
        <v>84</v>
      </c>
      <c r="D81" s="6" t="s">
        <v>83</v>
      </c>
      <c r="E81" s="6"/>
      <c r="F81" s="7">
        <v>1</v>
      </c>
      <c r="G81" s="9"/>
      <c r="H81" s="9"/>
      <c r="I81" s="8" t="s">
        <v>82</v>
      </c>
      <c r="J81" s="6" t="s">
        <v>46</v>
      </c>
      <c r="K81" s="7" t="s">
        <v>81</v>
      </c>
      <c r="L81" s="7" t="s">
        <v>80</v>
      </c>
      <c r="M81" s="7" t="s">
        <v>14</v>
      </c>
      <c r="N81" s="6" t="s">
        <v>43</v>
      </c>
    </row>
    <row r="82" spans="1:15">
      <c r="A82" s="10">
        <v>19</v>
      </c>
      <c r="B82" s="73"/>
      <c r="C82" s="6" t="s">
        <v>79</v>
      </c>
      <c r="D82" s="6" t="s">
        <v>78</v>
      </c>
      <c r="E82" s="6"/>
      <c r="F82" s="7">
        <v>1</v>
      </c>
      <c r="G82" s="9"/>
      <c r="H82" s="9"/>
      <c r="I82" s="8" t="s">
        <v>77</v>
      </c>
      <c r="J82" s="6" t="s">
        <v>46</v>
      </c>
      <c r="K82" s="7" t="s">
        <v>45</v>
      </c>
      <c r="L82" s="7" t="s">
        <v>44</v>
      </c>
      <c r="M82" s="7" t="s">
        <v>14</v>
      </c>
      <c r="N82" s="6" t="s">
        <v>43</v>
      </c>
    </row>
    <row r="83" spans="1:15" s="5" customFormat="1">
      <c r="A83" s="14">
        <v>20</v>
      </c>
      <c r="B83" s="89" t="s">
        <v>76</v>
      </c>
      <c r="C83" s="5" t="s">
        <v>75</v>
      </c>
      <c r="D83" s="5" t="s">
        <v>73</v>
      </c>
      <c r="F83" s="11">
        <v>1</v>
      </c>
      <c r="G83" s="13" t="s">
        <v>72</v>
      </c>
      <c r="H83" s="13" t="s">
        <v>0</v>
      </c>
      <c r="I83" s="12" t="s">
        <v>0</v>
      </c>
      <c r="J83" s="5" t="s">
        <v>46</v>
      </c>
      <c r="K83" s="11" t="s">
        <v>45</v>
      </c>
      <c r="L83" s="11" t="s">
        <v>44</v>
      </c>
      <c r="M83" s="11" t="s">
        <v>14</v>
      </c>
      <c r="N83" s="5" t="s">
        <v>43</v>
      </c>
    </row>
    <row r="84" spans="1:15" s="5" customFormat="1">
      <c r="A84" s="14">
        <v>20</v>
      </c>
      <c r="B84" s="89"/>
      <c r="C84" s="5" t="s">
        <v>74</v>
      </c>
      <c r="D84" s="5" t="s">
        <v>73</v>
      </c>
      <c r="F84" s="11">
        <v>1</v>
      </c>
      <c r="G84" s="13"/>
      <c r="H84" s="13"/>
      <c r="I84" s="12" t="s">
        <v>47</v>
      </c>
      <c r="J84" s="5" t="s">
        <v>46</v>
      </c>
      <c r="K84" s="11" t="s">
        <v>45</v>
      </c>
      <c r="L84" s="11" t="s">
        <v>44</v>
      </c>
      <c r="M84" s="11" t="s">
        <v>14</v>
      </c>
      <c r="N84" s="5" t="s">
        <v>43</v>
      </c>
    </row>
    <row r="85" spans="1:15">
      <c r="A85" s="2">
        <v>21</v>
      </c>
      <c r="B85" s="74" t="s">
        <v>71</v>
      </c>
      <c r="C85" t="s">
        <v>70</v>
      </c>
      <c r="D85" t="s">
        <v>68</v>
      </c>
      <c r="F85" s="3">
        <v>23565</v>
      </c>
      <c r="G85" s="1" t="s">
        <v>47</v>
      </c>
      <c r="H85" s="1" t="s">
        <v>119</v>
      </c>
      <c r="I85" s="4" t="s">
        <v>0</v>
      </c>
      <c r="J85" t="s">
        <v>46</v>
      </c>
      <c r="K85" s="3" t="s">
        <v>45</v>
      </c>
      <c r="L85" s="3" t="s">
        <v>44</v>
      </c>
      <c r="M85" s="3" t="s">
        <v>14</v>
      </c>
      <c r="N85" t="s">
        <v>43</v>
      </c>
    </row>
    <row r="86" spans="1:15">
      <c r="A86" s="2">
        <v>21</v>
      </c>
      <c r="B86" s="74"/>
      <c r="C86" t="s">
        <v>69</v>
      </c>
      <c r="D86" t="s">
        <v>68</v>
      </c>
      <c r="F86" s="3">
        <v>23565</v>
      </c>
      <c r="G86" s="1" t="s">
        <v>119</v>
      </c>
      <c r="H86" s="1" t="s">
        <v>119</v>
      </c>
      <c r="I86" s="4" t="s">
        <v>47</v>
      </c>
      <c r="J86" t="s">
        <v>46</v>
      </c>
      <c r="K86" s="3" t="s">
        <v>45</v>
      </c>
      <c r="L86" s="3" t="s">
        <v>44</v>
      </c>
      <c r="M86" s="3" t="s">
        <v>14</v>
      </c>
      <c r="N86" t="s">
        <v>43</v>
      </c>
    </row>
    <row r="87" spans="1:15">
      <c r="A87" s="2">
        <v>22</v>
      </c>
      <c r="B87" s="74" t="s">
        <v>67</v>
      </c>
      <c r="C87" t="s">
        <v>66</v>
      </c>
      <c r="D87" t="s">
        <v>64</v>
      </c>
      <c r="F87" s="3">
        <v>23565</v>
      </c>
      <c r="G87" s="1" t="s">
        <v>63</v>
      </c>
      <c r="I87" s="4" t="s">
        <v>0</v>
      </c>
      <c r="J87" t="s">
        <v>46</v>
      </c>
      <c r="K87" s="3" t="s">
        <v>45</v>
      </c>
      <c r="L87" s="3" t="s">
        <v>44</v>
      </c>
      <c r="M87" s="3" t="s">
        <v>14</v>
      </c>
      <c r="N87" t="s">
        <v>43</v>
      </c>
    </row>
    <row r="88" spans="1:15">
      <c r="A88" s="2">
        <v>22</v>
      </c>
      <c r="B88" s="74"/>
      <c r="C88" t="s">
        <v>65</v>
      </c>
      <c r="D88" t="s">
        <v>64</v>
      </c>
      <c r="F88" s="3">
        <v>23565</v>
      </c>
      <c r="G88" s="1" t="s">
        <v>63</v>
      </c>
      <c r="I88" s="4" t="s">
        <v>47</v>
      </c>
      <c r="J88" t="s">
        <v>46</v>
      </c>
      <c r="K88" s="3" t="s">
        <v>45</v>
      </c>
      <c r="L88" s="3" t="s">
        <v>44</v>
      </c>
      <c r="M88" s="3" t="s">
        <v>14</v>
      </c>
      <c r="N88" t="s">
        <v>43</v>
      </c>
    </row>
    <row r="89" spans="1:15">
      <c r="A89" s="10">
        <v>23</v>
      </c>
      <c r="B89" s="73" t="s">
        <v>62</v>
      </c>
      <c r="C89" s="6" t="s">
        <v>61</v>
      </c>
      <c r="D89" s="6" t="s">
        <v>59</v>
      </c>
      <c r="E89" s="6"/>
      <c r="F89" s="7">
        <v>23565</v>
      </c>
      <c r="G89" s="9" t="s">
        <v>58</v>
      </c>
      <c r="H89" s="9"/>
      <c r="I89" s="8" t="s">
        <v>0</v>
      </c>
      <c r="J89" s="6" t="s">
        <v>46</v>
      </c>
      <c r="K89" s="7" t="s">
        <v>45</v>
      </c>
      <c r="L89" s="7" t="s">
        <v>44</v>
      </c>
      <c r="M89" s="7" t="s">
        <v>14</v>
      </c>
      <c r="N89" s="6" t="s">
        <v>43</v>
      </c>
    </row>
    <row r="90" spans="1:15">
      <c r="A90" s="10">
        <v>23</v>
      </c>
      <c r="B90" s="73"/>
      <c r="C90" s="6" t="s">
        <v>60</v>
      </c>
      <c r="D90" s="6" t="s">
        <v>59</v>
      </c>
      <c r="E90" s="6"/>
      <c r="F90" s="7">
        <v>23565</v>
      </c>
      <c r="G90" s="9" t="s">
        <v>58</v>
      </c>
      <c r="H90" s="9"/>
      <c r="I90" s="8" t="s">
        <v>47</v>
      </c>
      <c r="J90" s="6" t="s">
        <v>46</v>
      </c>
      <c r="K90" s="7" t="s">
        <v>45</v>
      </c>
      <c r="L90" s="7" t="s">
        <v>44</v>
      </c>
      <c r="M90" s="7" t="s">
        <v>14</v>
      </c>
      <c r="N90" s="6" t="s">
        <v>43</v>
      </c>
    </row>
    <row r="91" spans="1:15">
      <c r="A91" s="2">
        <v>24</v>
      </c>
      <c r="B91" s="74" t="s">
        <v>57</v>
      </c>
      <c r="C91" t="s">
        <v>56</v>
      </c>
      <c r="D91" t="s">
        <v>54</v>
      </c>
      <c r="F91" s="3">
        <v>23565</v>
      </c>
      <c r="G91" s="1" t="s">
        <v>53</v>
      </c>
      <c r="I91" s="4" t="s">
        <v>0</v>
      </c>
      <c r="J91" t="s">
        <v>46</v>
      </c>
      <c r="K91" s="3" t="s">
        <v>45</v>
      </c>
      <c r="L91" s="3" t="s">
        <v>44</v>
      </c>
      <c r="M91" s="3" t="s">
        <v>14</v>
      </c>
      <c r="N91" t="s">
        <v>43</v>
      </c>
    </row>
    <row r="92" spans="1:15">
      <c r="A92" s="2">
        <v>24</v>
      </c>
      <c r="B92" s="74"/>
      <c r="C92" t="s">
        <v>55</v>
      </c>
      <c r="D92" t="s">
        <v>54</v>
      </c>
      <c r="F92" s="3">
        <v>23565</v>
      </c>
      <c r="G92" s="1" t="s">
        <v>53</v>
      </c>
      <c r="I92" s="4" t="s">
        <v>47</v>
      </c>
      <c r="J92" t="s">
        <v>46</v>
      </c>
      <c r="K92" s="3" t="s">
        <v>45</v>
      </c>
      <c r="L92" s="3" t="s">
        <v>44</v>
      </c>
      <c r="M92" s="3" t="s">
        <v>14</v>
      </c>
      <c r="N92" t="s">
        <v>43</v>
      </c>
    </row>
    <row r="93" spans="1:15">
      <c r="A93" s="2">
        <v>25</v>
      </c>
      <c r="B93" s="74" t="s">
        <v>52</v>
      </c>
      <c r="C93" t="s">
        <v>51</v>
      </c>
      <c r="D93" t="s">
        <v>49</v>
      </c>
      <c r="F93" s="3">
        <v>23565</v>
      </c>
      <c r="G93" s="1" t="s">
        <v>48</v>
      </c>
      <c r="I93" s="4" t="s">
        <v>0</v>
      </c>
      <c r="J93" t="s">
        <v>46</v>
      </c>
      <c r="K93" s="3" t="s">
        <v>45</v>
      </c>
      <c r="L93" s="3" t="s">
        <v>44</v>
      </c>
      <c r="M93" s="3" t="s">
        <v>14</v>
      </c>
      <c r="N93" t="s">
        <v>43</v>
      </c>
    </row>
    <row r="94" spans="1:15">
      <c r="A94" s="2">
        <v>25</v>
      </c>
      <c r="B94" s="74"/>
      <c r="C94" t="s">
        <v>50</v>
      </c>
      <c r="D94" t="s">
        <v>49</v>
      </c>
      <c r="F94" s="3">
        <v>23565</v>
      </c>
      <c r="G94" s="1" t="s">
        <v>48</v>
      </c>
      <c r="I94" s="4" t="s">
        <v>47</v>
      </c>
      <c r="J94" t="s">
        <v>46</v>
      </c>
      <c r="K94" s="3" t="s">
        <v>45</v>
      </c>
      <c r="L94" s="3" t="s">
        <v>44</v>
      </c>
      <c r="M94" s="3" t="s">
        <v>14</v>
      </c>
      <c r="N94" t="s">
        <v>43</v>
      </c>
    </row>
    <row r="96" spans="1:15">
      <c r="A96" s="74" t="s">
        <v>42</v>
      </c>
      <c r="B96" s="74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</row>
  </sheetData>
  <mergeCells count="24">
    <mergeCell ref="B76:B82"/>
    <mergeCell ref="B85:B86"/>
    <mergeCell ref="A96:O96"/>
    <mergeCell ref="A35:O35"/>
    <mergeCell ref="B87:B88"/>
    <mergeCell ref="B89:B90"/>
    <mergeCell ref="B91:B92"/>
    <mergeCell ref="B93:B94"/>
    <mergeCell ref="B70:B71"/>
    <mergeCell ref="B72:B73"/>
    <mergeCell ref="B74:B75"/>
    <mergeCell ref="B83:B84"/>
    <mergeCell ref="B66:B67"/>
    <mergeCell ref="B68:B69"/>
    <mergeCell ref="A1:O1"/>
    <mergeCell ref="A2:O2"/>
    <mergeCell ref="A50:O50"/>
    <mergeCell ref="O46:O48"/>
    <mergeCell ref="B52:B55"/>
    <mergeCell ref="P53:P59"/>
    <mergeCell ref="B56:B59"/>
    <mergeCell ref="B60:B61"/>
    <mergeCell ref="B62:B63"/>
    <mergeCell ref="B64:B65"/>
  </mergeCells>
  <pageMargins left="0.7" right="0.7" top="0.75" bottom="0.75" header="0.3" footer="0.3"/>
  <pageSetup paperSize="9"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CBB5C-EE98-4A0C-A767-7AF9596FB9CA}">
  <sheetPr codeName="Sheet2"/>
  <dimension ref="A1:L32"/>
  <sheetViews>
    <sheetView zoomScale="70" zoomScaleNormal="70" workbookViewId="0">
      <selection activeCell="B1" sqref="B1:I22"/>
    </sheetView>
  </sheetViews>
  <sheetFormatPr defaultRowHeight="15"/>
  <cols>
    <col min="1" max="1" width="3.85546875" style="31" bestFit="1" customWidth="1"/>
    <col min="2" max="2" width="3.85546875" customWidth="1"/>
    <col min="3" max="3" width="47.7109375" style="29" bestFit="1" customWidth="1"/>
    <col min="4" max="5" width="7.28515625" style="29" customWidth="1"/>
    <col min="6" max="6" width="9.140625" style="29"/>
    <col min="7" max="7" width="11.7109375" bestFit="1" customWidth="1"/>
    <col min="8" max="8" width="7.42578125" bestFit="1" customWidth="1"/>
  </cols>
  <sheetData>
    <row r="1" spans="1:12" s="32" customFormat="1" ht="60">
      <c r="A1" s="31">
        <v>1</v>
      </c>
      <c r="B1" s="32">
        <v>3</v>
      </c>
      <c r="C1" s="29" t="s">
        <v>278</v>
      </c>
      <c r="D1" s="29">
        <v>13057</v>
      </c>
      <c r="E1" s="29">
        <v>13175</v>
      </c>
      <c r="F1" s="29">
        <f>E1-D1 + 1 -1</f>
        <v>118</v>
      </c>
      <c r="G1" s="32" t="s">
        <v>277</v>
      </c>
      <c r="H1" s="32">
        <v>17003</v>
      </c>
      <c r="I1" s="29">
        <v>125</v>
      </c>
      <c r="K1" s="39"/>
      <c r="L1" s="39"/>
    </row>
    <row r="2" spans="1:12" s="32" customFormat="1" ht="60">
      <c r="A2" s="32">
        <v>2</v>
      </c>
      <c r="B2" s="32">
        <v>3</v>
      </c>
      <c r="C2" s="29" t="s">
        <v>279</v>
      </c>
      <c r="D2" s="29">
        <v>16385</v>
      </c>
      <c r="E2" s="29">
        <v>16450</v>
      </c>
      <c r="F2" s="29">
        <f t="shared" ref="F2:F21" si="0">E2-D2 + 1 -1</f>
        <v>65</v>
      </c>
      <c r="G2" s="32" t="s">
        <v>277</v>
      </c>
      <c r="H2" s="32">
        <v>17003</v>
      </c>
      <c r="I2" s="29">
        <v>125</v>
      </c>
      <c r="K2" s="39"/>
      <c r="L2" s="39"/>
    </row>
    <row r="3" spans="1:12" s="32" customFormat="1" ht="45">
      <c r="A3" s="32">
        <v>3</v>
      </c>
      <c r="B3" s="32">
        <v>3</v>
      </c>
      <c r="C3" s="29" t="s">
        <v>280</v>
      </c>
      <c r="D3" s="29">
        <v>17409</v>
      </c>
      <c r="E3" s="29">
        <v>17431</v>
      </c>
      <c r="F3" s="29">
        <f t="shared" si="0"/>
        <v>22</v>
      </c>
      <c r="G3" s="32" t="s">
        <v>277</v>
      </c>
      <c r="H3" s="32">
        <v>17003</v>
      </c>
      <c r="I3" s="29">
        <v>125</v>
      </c>
      <c r="K3" s="39"/>
      <c r="L3" s="39"/>
    </row>
    <row r="4" spans="1:12" s="32" customFormat="1" ht="45">
      <c r="A4" s="32">
        <v>4</v>
      </c>
      <c r="B4" s="32">
        <v>3</v>
      </c>
      <c r="C4" s="29" t="s">
        <v>281</v>
      </c>
      <c r="D4" s="29">
        <v>17665</v>
      </c>
      <c r="E4" s="29">
        <v>17686</v>
      </c>
      <c r="F4" s="29">
        <f t="shared" si="0"/>
        <v>21</v>
      </c>
      <c r="G4" s="32" t="s">
        <v>277</v>
      </c>
      <c r="H4" s="32">
        <v>17003</v>
      </c>
      <c r="I4" s="29">
        <v>125</v>
      </c>
      <c r="K4" s="39"/>
      <c r="L4" s="39"/>
    </row>
    <row r="5" spans="1:12" ht="30">
      <c r="A5" s="32">
        <v>5</v>
      </c>
      <c r="B5" s="31">
        <v>3</v>
      </c>
      <c r="C5" s="29" t="s">
        <v>259</v>
      </c>
      <c r="D5" s="29">
        <v>18433</v>
      </c>
      <c r="E5" s="29">
        <v>18550</v>
      </c>
      <c r="F5" s="29">
        <f t="shared" si="0"/>
        <v>117</v>
      </c>
      <c r="G5" t="s">
        <v>277</v>
      </c>
      <c r="H5">
        <v>17003</v>
      </c>
      <c r="I5" s="29">
        <v>125</v>
      </c>
      <c r="K5" s="39"/>
      <c r="L5" s="39"/>
    </row>
    <row r="6" spans="1:12" ht="30">
      <c r="A6" s="32">
        <v>6</v>
      </c>
      <c r="B6" s="31">
        <v>3</v>
      </c>
      <c r="C6" s="29" t="s">
        <v>260</v>
      </c>
      <c r="D6" s="29">
        <v>18689</v>
      </c>
      <c r="E6" s="29">
        <v>18775</v>
      </c>
      <c r="F6" s="29">
        <f t="shared" si="0"/>
        <v>86</v>
      </c>
      <c r="G6" s="31" t="s">
        <v>277</v>
      </c>
      <c r="H6" s="31">
        <v>17003</v>
      </c>
      <c r="I6" s="29">
        <v>125</v>
      </c>
      <c r="K6" s="39"/>
      <c r="L6" s="39"/>
    </row>
    <row r="7" spans="1:12" ht="30">
      <c r="A7" s="32">
        <v>7</v>
      </c>
      <c r="B7" s="31">
        <v>3</v>
      </c>
      <c r="C7" s="29" t="s">
        <v>261</v>
      </c>
      <c r="D7" s="29">
        <v>18945</v>
      </c>
      <c r="E7" s="29">
        <v>19012</v>
      </c>
      <c r="F7" s="29">
        <f t="shared" si="0"/>
        <v>67</v>
      </c>
      <c r="G7" s="31" t="s">
        <v>277</v>
      </c>
      <c r="H7" s="31">
        <v>17003</v>
      </c>
      <c r="I7" s="29">
        <v>125</v>
      </c>
      <c r="K7" s="39"/>
      <c r="L7" s="39"/>
    </row>
    <row r="8" spans="1:12" ht="45">
      <c r="A8" s="32">
        <v>8</v>
      </c>
      <c r="B8" s="31">
        <v>3</v>
      </c>
      <c r="C8" s="29" t="s">
        <v>262</v>
      </c>
      <c r="D8" s="29">
        <v>19457</v>
      </c>
      <c r="E8" s="29">
        <v>19502</v>
      </c>
      <c r="F8" s="29">
        <f t="shared" si="0"/>
        <v>45</v>
      </c>
      <c r="G8" s="31" t="s">
        <v>277</v>
      </c>
      <c r="H8" s="31">
        <v>17003</v>
      </c>
      <c r="I8" s="29">
        <v>125</v>
      </c>
      <c r="K8" s="39"/>
      <c r="L8" s="39"/>
    </row>
    <row r="9" spans="1:12" ht="30">
      <c r="A9" s="32">
        <v>9</v>
      </c>
      <c r="B9" s="31">
        <v>3</v>
      </c>
      <c r="C9" s="29" t="s">
        <v>263</v>
      </c>
      <c r="D9" s="29">
        <v>19713</v>
      </c>
      <c r="E9" s="29">
        <v>19741</v>
      </c>
      <c r="F9" s="29">
        <f t="shared" si="0"/>
        <v>28</v>
      </c>
      <c r="G9" s="31" t="s">
        <v>277</v>
      </c>
      <c r="H9" s="31">
        <v>17003</v>
      </c>
      <c r="I9" s="29">
        <v>125</v>
      </c>
      <c r="K9" s="39"/>
      <c r="L9" s="39"/>
    </row>
    <row r="10" spans="1:12">
      <c r="A10" s="32">
        <v>10</v>
      </c>
      <c r="B10" s="31">
        <v>3</v>
      </c>
      <c r="C10" s="29" t="s">
        <v>264</v>
      </c>
      <c r="D10" s="29">
        <v>23297</v>
      </c>
      <c r="E10" s="29">
        <v>23337</v>
      </c>
      <c r="F10" s="29">
        <f t="shared" si="0"/>
        <v>40</v>
      </c>
      <c r="G10" s="31" t="s">
        <v>277</v>
      </c>
      <c r="H10" s="31">
        <v>17003</v>
      </c>
      <c r="I10" s="29">
        <v>125</v>
      </c>
      <c r="K10" s="39"/>
      <c r="L10" s="39"/>
    </row>
    <row r="11" spans="1:12">
      <c r="A11" s="32">
        <v>11</v>
      </c>
      <c r="B11" s="31">
        <v>3</v>
      </c>
      <c r="C11" s="29" t="s">
        <v>265</v>
      </c>
      <c r="D11" s="29">
        <v>23553</v>
      </c>
      <c r="E11" s="29">
        <v>23648</v>
      </c>
      <c r="F11" s="29">
        <f t="shared" si="0"/>
        <v>95</v>
      </c>
      <c r="G11" s="31" t="s">
        <v>277</v>
      </c>
      <c r="H11" s="31">
        <v>17003</v>
      </c>
      <c r="I11" s="29">
        <v>125</v>
      </c>
      <c r="K11" s="39"/>
      <c r="L11" s="39"/>
    </row>
    <row r="12" spans="1:12">
      <c r="A12" s="32">
        <v>12</v>
      </c>
      <c r="B12" s="31">
        <v>3</v>
      </c>
      <c r="C12" s="29" t="s">
        <v>267</v>
      </c>
      <c r="D12" s="29">
        <v>24065</v>
      </c>
      <c r="E12" s="29">
        <v>24159</v>
      </c>
      <c r="F12" s="29">
        <f t="shared" si="0"/>
        <v>94</v>
      </c>
      <c r="G12" s="31" t="s">
        <v>277</v>
      </c>
      <c r="H12" s="31">
        <v>17003</v>
      </c>
      <c r="I12" s="29">
        <v>125</v>
      </c>
      <c r="K12" s="39"/>
      <c r="L12" s="39"/>
    </row>
    <row r="13" spans="1:12">
      <c r="A13" s="32">
        <v>13</v>
      </c>
      <c r="B13" s="31">
        <v>3</v>
      </c>
      <c r="C13" s="29" t="s">
        <v>268</v>
      </c>
      <c r="D13" s="29">
        <v>24833</v>
      </c>
      <c r="E13" s="29">
        <v>24943</v>
      </c>
      <c r="F13" s="29">
        <f t="shared" si="0"/>
        <v>110</v>
      </c>
      <c r="G13" s="31" t="s">
        <v>277</v>
      </c>
      <c r="H13" s="31">
        <v>17003</v>
      </c>
      <c r="I13" s="29">
        <v>125</v>
      </c>
      <c r="K13" s="39"/>
      <c r="L13" s="39"/>
    </row>
    <row r="14" spans="1:12" ht="30">
      <c r="A14" s="32">
        <v>14</v>
      </c>
      <c r="B14" s="31">
        <v>3</v>
      </c>
      <c r="C14" s="29" t="s">
        <v>269</v>
      </c>
      <c r="D14" s="29">
        <v>25601</v>
      </c>
      <c r="E14" s="29">
        <v>25649</v>
      </c>
      <c r="F14" s="29">
        <f t="shared" si="0"/>
        <v>48</v>
      </c>
      <c r="G14" s="31" t="s">
        <v>277</v>
      </c>
      <c r="H14" s="31">
        <v>17003</v>
      </c>
      <c r="I14" s="29">
        <v>125</v>
      </c>
      <c r="K14" s="39"/>
      <c r="L14" s="39"/>
    </row>
    <row r="15" spans="1:12" ht="60">
      <c r="A15" s="32">
        <v>15</v>
      </c>
      <c r="B15" s="31">
        <v>3</v>
      </c>
      <c r="C15" s="29" t="s">
        <v>270</v>
      </c>
      <c r="D15" s="29">
        <v>32769</v>
      </c>
      <c r="E15" s="29">
        <v>32820</v>
      </c>
      <c r="F15" s="29">
        <f t="shared" si="0"/>
        <v>51</v>
      </c>
      <c r="G15" s="31" t="s">
        <v>277</v>
      </c>
      <c r="H15" s="31">
        <v>17003</v>
      </c>
      <c r="I15" s="29">
        <v>125</v>
      </c>
      <c r="K15" s="39"/>
      <c r="L15" s="39"/>
    </row>
    <row r="16" spans="1:12" ht="45">
      <c r="A16" s="32">
        <v>16</v>
      </c>
      <c r="B16" s="31">
        <v>3</v>
      </c>
      <c r="C16" s="29" t="s">
        <v>271</v>
      </c>
      <c r="D16" s="29">
        <v>33025</v>
      </c>
      <c r="E16" s="29">
        <v>33094</v>
      </c>
      <c r="F16" s="29">
        <f t="shared" si="0"/>
        <v>69</v>
      </c>
      <c r="G16" s="31" t="s">
        <v>277</v>
      </c>
      <c r="H16" s="31">
        <v>17003</v>
      </c>
      <c r="I16" s="29">
        <v>125</v>
      </c>
      <c r="K16" s="39"/>
      <c r="L16" s="39"/>
    </row>
    <row r="17" spans="1:12" ht="75">
      <c r="A17" s="32">
        <v>17</v>
      </c>
      <c r="B17" s="31">
        <v>3</v>
      </c>
      <c r="C17" s="29" t="s">
        <v>272</v>
      </c>
      <c r="D17" s="29">
        <v>33537</v>
      </c>
      <c r="E17" s="29">
        <v>33564</v>
      </c>
      <c r="F17" s="29">
        <f t="shared" si="0"/>
        <v>27</v>
      </c>
      <c r="G17" s="31" t="s">
        <v>277</v>
      </c>
      <c r="H17" s="31">
        <v>17003</v>
      </c>
      <c r="I17" s="29">
        <v>125</v>
      </c>
      <c r="K17" s="39"/>
      <c r="L17" s="39"/>
    </row>
    <row r="18" spans="1:12" ht="45">
      <c r="A18" s="32">
        <v>18</v>
      </c>
      <c r="B18" s="31">
        <v>3</v>
      </c>
      <c r="C18" s="29" t="s">
        <v>273</v>
      </c>
      <c r="D18" s="29">
        <v>33281</v>
      </c>
      <c r="E18" s="29">
        <v>33354</v>
      </c>
      <c r="F18" s="29">
        <f t="shared" si="0"/>
        <v>73</v>
      </c>
      <c r="G18" s="31" t="s">
        <v>277</v>
      </c>
      <c r="H18" s="31">
        <v>17003</v>
      </c>
      <c r="I18" s="29">
        <v>125</v>
      </c>
      <c r="K18" s="39"/>
      <c r="L18" s="39"/>
    </row>
    <row r="19" spans="1:12" ht="45">
      <c r="A19" s="32">
        <v>19</v>
      </c>
      <c r="B19" s="31">
        <v>3</v>
      </c>
      <c r="C19" s="29" t="s">
        <v>274</v>
      </c>
      <c r="D19" s="29">
        <v>40961</v>
      </c>
      <c r="E19" s="29">
        <v>40999</v>
      </c>
      <c r="F19" s="29">
        <f t="shared" si="0"/>
        <v>38</v>
      </c>
      <c r="G19" s="31" t="s">
        <v>277</v>
      </c>
      <c r="H19" s="31">
        <v>17003</v>
      </c>
      <c r="I19" s="29">
        <v>125</v>
      </c>
      <c r="K19" s="39"/>
      <c r="L19" s="39"/>
    </row>
    <row r="20" spans="1:12" ht="45">
      <c r="A20" s="32">
        <v>20</v>
      </c>
      <c r="B20" s="31">
        <v>3</v>
      </c>
      <c r="C20" s="29" t="s">
        <v>275</v>
      </c>
      <c r="D20" s="29">
        <v>41473</v>
      </c>
      <c r="E20" s="29">
        <v>41510</v>
      </c>
      <c r="F20" s="29">
        <f t="shared" si="0"/>
        <v>37</v>
      </c>
      <c r="G20" s="31" t="s">
        <v>277</v>
      </c>
      <c r="H20" s="31">
        <v>17003</v>
      </c>
      <c r="I20" s="29">
        <v>125</v>
      </c>
      <c r="K20" s="39"/>
      <c r="L20" s="39"/>
    </row>
    <row r="21" spans="1:12" ht="45">
      <c r="A21" s="32">
        <v>21</v>
      </c>
      <c r="B21" s="31">
        <v>3</v>
      </c>
      <c r="C21" s="29" t="s">
        <v>276</v>
      </c>
      <c r="D21" s="29">
        <v>42241</v>
      </c>
      <c r="E21" s="29">
        <v>42337</v>
      </c>
      <c r="F21" s="29">
        <f t="shared" si="0"/>
        <v>96</v>
      </c>
      <c r="G21" s="31" t="s">
        <v>277</v>
      </c>
      <c r="H21" s="31">
        <v>17003</v>
      </c>
      <c r="I21" s="29">
        <v>125</v>
      </c>
      <c r="K21" s="39"/>
      <c r="L21" s="39"/>
    </row>
    <row r="22" spans="1:12">
      <c r="F22" s="29">
        <f>SUM(F1:F21)</f>
        <v>1347</v>
      </c>
    </row>
    <row r="32" spans="1:12" ht="75">
      <c r="A32" s="31">
        <v>8</v>
      </c>
      <c r="B32" s="31">
        <v>3</v>
      </c>
      <c r="C32" s="33" t="s">
        <v>266</v>
      </c>
      <c r="D32" s="29">
        <v>23809</v>
      </c>
      <c r="E32" s="29">
        <v>23822</v>
      </c>
      <c r="F32" s="29">
        <f>E32-D32 + 1</f>
        <v>14</v>
      </c>
      <c r="G32" s="31" t="s">
        <v>277</v>
      </c>
      <c r="H32" s="31">
        <v>17003</v>
      </c>
      <c r="I32" s="29">
        <v>125</v>
      </c>
      <c r="J32" t="s">
        <v>282</v>
      </c>
      <c r="K32" t="s">
        <v>292</v>
      </c>
    </row>
  </sheetData>
  <conditionalFormatting sqref="I1:I21 I3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{451B429D-7DA8-4273-8F67-BB53C046B8DF}</x14:id>
        </ext>
      </extLst>
    </cfRule>
  </conditionalFormatting>
  <conditionalFormatting sqref="I5 F32 F1:F2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{07C9CA75-8405-418E-9059-3552EEFA19CE}</x14:id>
        </ext>
      </extLst>
    </cfRule>
  </conditionalFormatting>
  <conditionalFormatting sqref="F1:F2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{BE21E772-CADB-4F90-815B-9B71BFAD8AEF}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1B429D-7DA8-4273-8F67-BB53C046B8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I1:I21 I32</xm:sqref>
        </x14:conditionalFormatting>
        <x14:conditionalFormatting xmlns:xm="http://schemas.microsoft.com/office/excel/2006/main">
          <x14:cfRule type="dataBar" id="{07C9CA75-8405-418E-9059-3552EEFA19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I5 F32 F1:F22</xm:sqref>
        </x14:conditionalFormatting>
        <x14:conditionalFormatting xmlns:xm="http://schemas.microsoft.com/office/excel/2006/main">
          <x14:cfRule type="dataBar" id="{BE21E772-CADB-4F90-815B-9B71BFAD8A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0FA3-68AF-4722-9022-C56E27FB5D77}">
  <sheetPr codeName="Sheet3"/>
  <dimension ref="A1:O1599"/>
  <sheetViews>
    <sheetView workbookViewId="0">
      <pane ySplit="1" topLeftCell="A1400" activePane="bottomLeft" state="frozen"/>
      <selection pane="bottomLeft" activeCell="I1415" sqref="I1415"/>
    </sheetView>
  </sheetViews>
  <sheetFormatPr defaultColWidth="0" defaultRowHeight="15"/>
  <cols>
    <col min="1" max="1" width="7.140625" style="34" customWidth="1"/>
    <col min="2" max="2" width="35.28515625" style="34" customWidth="1"/>
    <col min="3" max="3" width="6.42578125" style="37" customWidth="1"/>
    <col min="4" max="4" width="72.85546875" style="34" customWidth="1"/>
    <col min="5" max="8" width="7.85546875" style="34" customWidth="1"/>
    <col min="9" max="9" width="19" style="34" customWidth="1"/>
    <col min="10" max="11" width="7.28515625" style="34" customWidth="1"/>
    <col min="12" max="12" width="8.42578125" style="34" customWidth="1"/>
    <col min="13" max="13" width="41.7109375" style="34" customWidth="1"/>
    <col min="14" max="14" width="9.140625" style="34" customWidth="1"/>
    <col min="15" max="15" width="0" style="34" hidden="1" customWidth="1"/>
    <col min="16" max="16384" width="9.140625" style="34" hidden="1"/>
  </cols>
  <sheetData>
    <row r="1" spans="2:15" s="49" customFormat="1" ht="30">
      <c r="B1" s="42" t="s">
        <v>383</v>
      </c>
      <c r="C1" s="40" t="s">
        <v>293</v>
      </c>
      <c r="D1" s="43" t="s">
        <v>294</v>
      </c>
      <c r="E1" s="44" t="s">
        <v>284</v>
      </c>
      <c r="F1" s="44" t="s">
        <v>295</v>
      </c>
      <c r="G1" s="45" t="s">
        <v>679</v>
      </c>
      <c r="H1" s="46" t="s">
        <v>296</v>
      </c>
      <c r="I1" s="48" t="s">
        <v>297</v>
      </c>
      <c r="J1" s="48" t="s">
        <v>298</v>
      </c>
      <c r="K1" s="48" t="s">
        <v>300</v>
      </c>
      <c r="L1" s="47" t="s">
        <v>301</v>
      </c>
      <c r="M1" s="47" t="s">
        <v>302</v>
      </c>
      <c r="N1" s="45" t="s">
        <v>299</v>
      </c>
      <c r="O1" s="40"/>
    </row>
    <row r="2" spans="2:15">
      <c r="B2" t="s">
        <v>438</v>
      </c>
      <c r="C2" s="37">
        <v>3</v>
      </c>
      <c r="D2" s="34" t="s">
        <v>290</v>
      </c>
      <c r="G2">
        <v>17411</v>
      </c>
      <c r="H2" s="34">
        <v>4</v>
      </c>
      <c r="I2" s="34" t="s">
        <v>337</v>
      </c>
    </row>
    <row r="3" spans="2:15">
      <c r="C3" s="38"/>
    </row>
    <row r="4" spans="2:15">
      <c r="B4" s="34" t="s">
        <v>437</v>
      </c>
      <c r="C4" s="38">
        <v>6</v>
      </c>
      <c r="D4" s="34" t="s">
        <v>384</v>
      </c>
      <c r="G4" s="34">
        <v>17409</v>
      </c>
      <c r="H4" s="34">
        <v>1</v>
      </c>
      <c r="I4" s="34" t="s">
        <v>291</v>
      </c>
    </row>
    <row r="5" spans="2:15">
      <c r="B5" s="34" t="s">
        <v>437</v>
      </c>
      <c r="C5" s="38">
        <v>6</v>
      </c>
      <c r="D5" s="34" t="s">
        <v>384</v>
      </c>
      <c r="G5" s="34">
        <v>17410</v>
      </c>
      <c r="H5" s="34">
        <v>1</v>
      </c>
      <c r="I5" s="34" t="s">
        <v>291</v>
      </c>
    </row>
    <row r="6" spans="2:15">
      <c r="C6" s="38"/>
    </row>
    <row r="7" spans="2:15">
      <c r="B7" s="34" t="s">
        <v>437</v>
      </c>
      <c r="C7" s="38">
        <v>3</v>
      </c>
      <c r="D7" s="29" t="s">
        <v>338</v>
      </c>
      <c r="G7" s="34">
        <v>13057</v>
      </c>
      <c r="H7" s="34">
        <v>6</v>
      </c>
      <c r="I7" t="s">
        <v>873</v>
      </c>
    </row>
    <row r="8" spans="2:15">
      <c r="B8" s="34" t="s">
        <v>437</v>
      </c>
      <c r="C8" s="38">
        <v>3</v>
      </c>
      <c r="D8" s="29" t="s">
        <v>339</v>
      </c>
      <c r="G8" s="34">
        <v>13063</v>
      </c>
      <c r="H8" s="34">
        <v>6</v>
      </c>
      <c r="I8" s="64" t="s">
        <v>873</v>
      </c>
    </row>
    <row r="9" spans="2:15">
      <c r="B9" s="34" t="s">
        <v>437</v>
      </c>
      <c r="C9" s="38">
        <v>3</v>
      </c>
      <c r="D9" s="29" t="s">
        <v>340</v>
      </c>
      <c r="G9" s="34">
        <v>13069</v>
      </c>
      <c r="H9" s="34">
        <v>6</v>
      </c>
      <c r="I9" s="64" t="s">
        <v>873</v>
      </c>
    </row>
    <row r="10" spans="2:15">
      <c r="B10" s="34" t="s">
        <v>437</v>
      </c>
      <c r="C10" s="38">
        <v>3</v>
      </c>
      <c r="D10" s="29" t="s">
        <v>341</v>
      </c>
      <c r="G10" s="34">
        <v>13075</v>
      </c>
      <c r="H10" s="34">
        <v>6</v>
      </c>
      <c r="I10" s="64" t="s">
        <v>873</v>
      </c>
    </row>
    <row r="11" spans="2:15">
      <c r="B11" s="34" t="s">
        <v>437</v>
      </c>
      <c r="C11" s="38">
        <v>3</v>
      </c>
      <c r="D11" s="29" t="s">
        <v>342</v>
      </c>
      <c r="G11" s="34">
        <v>13081</v>
      </c>
      <c r="H11" s="34">
        <v>6</v>
      </c>
      <c r="I11" s="64" t="s">
        <v>873</v>
      </c>
    </row>
    <row r="13" spans="2:15">
      <c r="C13" s="64"/>
    </row>
    <row r="14" spans="2:15">
      <c r="B14" s="34" t="s">
        <v>437</v>
      </c>
      <c r="C14" s="64">
        <v>3</v>
      </c>
      <c r="D14" s="29" t="s">
        <v>338</v>
      </c>
      <c r="G14">
        <v>13087</v>
      </c>
      <c r="H14" s="34">
        <v>6</v>
      </c>
      <c r="I14" t="s">
        <v>872</v>
      </c>
    </row>
    <row r="15" spans="2:15">
      <c r="B15" s="34" t="s">
        <v>437</v>
      </c>
      <c r="C15" s="64">
        <v>3</v>
      </c>
      <c r="D15" s="29" t="s">
        <v>339</v>
      </c>
      <c r="G15" s="34">
        <f>G14+H14</f>
        <v>13093</v>
      </c>
      <c r="H15" s="34">
        <v>6</v>
      </c>
      <c r="I15" s="64" t="s">
        <v>872</v>
      </c>
    </row>
    <row r="16" spans="2:15">
      <c r="B16" s="34" t="s">
        <v>437</v>
      </c>
      <c r="C16" s="64">
        <v>3</v>
      </c>
      <c r="D16" s="29" t="s">
        <v>340</v>
      </c>
      <c r="G16" s="34">
        <f t="shared" ref="G16:G23" si="0">G15+H15</f>
        <v>13099</v>
      </c>
      <c r="H16" s="34">
        <v>6</v>
      </c>
      <c r="I16" s="64" t="s">
        <v>872</v>
      </c>
    </row>
    <row r="17" spans="1:13">
      <c r="B17" s="34" t="s">
        <v>437</v>
      </c>
      <c r="C17" s="64">
        <v>3</v>
      </c>
      <c r="D17" s="29" t="s">
        <v>341</v>
      </c>
      <c r="G17" s="34">
        <f t="shared" si="0"/>
        <v>13105</v>
      </c>
      <c r="H17" s="34">
        <v>6</v>
      </c>
      <c r="I17" s="64" t="s">
        <v>872</v>
      </c>
    </row>
    <row r="18" spans="1:13">
      <c r="B18" s="34" t="s">
        <v>437</v>
      </c>
      <c r="C18" s="64">
        <v>3</v>
      </c>
      <c r="D18" s="29" t="s">
        <v>342</v>
      </c>
      <c r="G18" s="34">
        <f t="shared" si="0"/>
        <v>13111</v>
      </c>
      <c r="H18" s="34">
        <v>6</v>
      </c>
      <c r="I18" s="64" t="s">
        <v>872</v>
      </c>
    </row>
    <row r="19" spans="1:13">
      <c r="B19" s="34" t="s">
        <v>437</v>
      </c>
      <c r="C19" s="64">
        <v>3</v>
      </c>
      <c r="D19" s="29" t="s">
        <v>338</v>
      </c>
      <c r="G19" s="34">
        <f t="shared" si="0"/>
        <v>13117</v>
      </c>
      <c r="H19" s="34">
        <v>6</v>
      </c>
      <c r="I19" s="64" t="s">
        <v>872</v>
      </c>
    </row>
    <row r="20" spans="1:13">
      <c r="B20" s="34" t="s">
        <v>437</v>
      </c>
      <c r="C20" s="64">
        <v>3</v>
      </c>
      <c r="D20" s="29" t="s">
        <v>339</v>
      </c>
      <c r="G20" s="34">
        <f t="shared" si="0"/>
        <v>13123</v>
      </c>
      <c r="H20" s="34">
        <v>6</v>
      </c>
      <c r="I20" s="64" t="s">
        <v>872</v>
      </c>
    </row>
    <row r="21" spans="1:13">
      <c r="B21" s="34" t="s">
        <v>437</v>
      </c>
      <c r="C21" s="64">
        <v>3</v>
      </c>
      <c r="D21" s="29" t="s">
        <v>340</v>
      </c>
      <c r="G21" s="34">
        <f t="shared" si="0"/>
        <v>13129</v>
      </c>
      <c r="H21" s="34">
        <v>6</v>
      </c>
      <c r="I21" s="64" t="s">
        <v>872</v>
      </c>
    </row>
    <row r="22" spans="1:13">
      <c r="B22" s="34" t="s">
        <v>437</v>
      </c>
      <c r="C22" s="64">
        <v>3</v>
      </c>
      <c r="D22" s="29" t="s">
        <v>341</v>
      </c>
      <c r="G22" s="34">
        <f t="shared" si="0"/>
        <v>13135</v>
      </c>
      <c r="H22" s="34">
        <v>6</v>
      </c>
      <c r="I22" s="64" t="s">
        <v>872</v>
      </c>
    </row>
    <row r="23" spans="1:13">
      <c r="B23" s="34" t="s">
        <v>437</v>
      </c>
      <c r="C23" s="64">
        <v>3</v>
      </c>
      <c r="D23" s="29" t="s">
        <v>342</v>
      </c>
      <c r="G23" s="34">
        <f t="shared" si="0"/>
        <v>13141</v>
      </c>
      <c r="H23" s="34">
        <v>6</v>
      </c>
      <c r="I23" s="64" t="s">
        <v>872</v>
      </c>
    </row>
    <row r="24" spans="1:13">
      <c r="C24" s="38"/>
    </row>
    <row r="25" spans="1:13">
      <c r="C25" s="37">
        <v>6</v>
      </c>
      <c r="D25" t="s">
        <v>394</v>
      </c>
    </row>
    <row r="26" spans="1:13">
      <c r="A26" s="36"/>
      <c r="B26" s="36"/>
      <c r="C26" s="39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1:13">
      <c r="B27" s="34" t="s">
        <v>437</v>
      </c>
      <c r="C27" s="37">
        <v>3</v>
      </c>
      <c r="D27" t="s">
        <v>875</v>
      </c>
      <c r="G27" s="34">
        <v>13147</v>
      </c>
      <c r="H27" s="34" t="s">
        <v>746</v>
      </c>
      <c r="I27" t="s">
        <v>874</v>
      </c>
      <c r="J27" t="s">
        <v>395</v>
      </c>
    </row>
    <row r="29" spans="1:13" ht="45">
      <c r="B29" s="34" t="s">
        <v>437</v>
      </c>
      <c r="C29" s="37">
        <v>3</v>
      </c>
      <c r="D29" s="29" t="s">
        <v>285</v>
      </c>
      <c r="G29" s="34">
        <v>13148</v>
      </c>
      <c r="H29" s="34" t="s">
        <v>746</v>
      </c>
      <c r="I29" t="s">
        <v>575</v>
      </c>
    </row>
    <row r="30" spans="1:13">
      <c r="B30" s="34" t="s">
        <v>437</v>
      </c>
      <c r="C30" s="63">
        <v>3</v>
      </c>
      <c r="D30" t="s">
        <v>289</v>
      </c>
      <c r="G30" s="34">
        <v>13148</v>
      </c>
      <c r="H30" s="34" t="s">
        <v>745</v>
      </c>
      <c r="I30" s="34" t="s">
        <v>291</v>
      </c>
    </row>
    <row r="32" spans="1:13">
      <c r="B32" s="34" t="s">
        <v>437</v>
      </c>
      <c r="C32" s="55">
        <v>3</v>
      </c>
      <c r="D32" t="s">
        <v>877</v>
      </c>
      <c r="E32" s="56"/>
      <c r="F32" s="56"/>
      <c r="G32" s="55">
        <v>13149</v>
      </c>
      <c r="H32" s="56">
        <v>1</v>
      </c>
      <c r="I32" t="s">
        <v>876</v>
      </c>
      <c r="J32" s="56"/>
      <c r="K32" s="34">
        <v>-3</v>
      </c>
    </row>
    <row r="33" spans="2:13">
      <c r="B33" s="34" t="s">
        <v>437</v>
      </c>
      <c r="C33" s="55">
        <v>3</v>
      </c>
      <c r="D33" t="s">
        <v>879</v>
      </c>
      <c r="E33" s="56"/>
      <c r="F33" s="56"/>
      <c r="G33" s="56">
        <v>13150</v>
      </c>
      <c r="H33" s="56">
        <v>1</v>
      </c>
      <c r="I33" t="s">
        <v>878</v>
      </c>
      <c r="J33" s="56"/>
    </row>
    <row r="34" spans="2:13">
      <c r="B34" s="34" t="s">
        <v>437</v>
      </c>
      <c r="C34" s="55">
        <v>3</v>
      </c>
      <c r="D34" s="56" t="s">
        <v>413</v>
      </c>
      <c r="E34" s="56"/>
      <c r="F34" s="56"/>
      <c r="G34" s="56">
        <v>13151</v>
      </c>
      <c r="H34" s="56">
        <v>1</v>
      </c>
      <c r="I34" t="s">
        <v>878</v>
      </c>
      <c r="J34" s="56"/>
    </row>
    <row r="35" spans="2:13">
      <c r="B35" s="34" t="s">
        <v>437</v>
      </c>
      <c r="C35" s="55">
        <v>3</v>
      </c>
      <c r="D35" s="56" t="s">
        <v>286</v>
      </c>
      <c r="E35" s="56"/>
      <c r="F35" s="56"/>
      <c r="G35" s="56">
        <v>13152</v>
      </c>
      <c r="H35" s="56">
        <v>1</v>
      </c>
      <c r="I35" t="s">
        <v>878</v>
      </c>
      <c r="J35" s="56"/>
    </row>
    <row r="36" spans="2:13">
      <c r="B36" s="34" t="s">
        <v>437</v>
      </c>
      <c r="C36" s="55">
        <v>3</v>
      </c>
      <c r="D36" s="55" t="s">
        <v>880</v>
      </c>
      <c r="E36" s="56"/>
      <c r="F36" s="56"/>
      <c r="G36" s="56">
        <v>13153</v>
      </c>
      <c r="H36" s="56">
        <v>1</v>
      </c>
      <c r="I36" t="s">
        <v>878</v>
      </c>
      <c r="J36" s="56"/>
    </row>
    <row r="37" spans="2:13">
      <c r="B37" s="34" t="s">
        <v>437</v>
      </c>
      <c r="C37" s="55">
        <v>3</v>
      </c>
      <c r="D37" t="s">
        <v>287</v>
      </c>
      <c r="E37" s="56"/>
      <c r="F37" s="56"/>
      <c r="G37" s="55">
        <v>13154</v>
      </c>
      <c r="H37" s="56">
        <v>4</v>
      </c>
      <c r="I37" s="56" t="s">
        <v>414</v>
      </c>
    </row>
    <row r="38" spans="2:13" ht="30">
      <c r="B38" s="34" t="s">
        <v>437</v>
      </c>
      <c r="C38" s="55">
        <v>3</v>
      </c>
      <c r="D38" s="57" t="s">
        <v>415</v>
      </c>
      <c r="E38" s="56"/>
      <c r="F38" s="56"/>
      <c r="G38" s="56">
        <v>13158</v>
      </c>
      <c r="H38" s="56" t="s">
        <v>745</v>
      </c>
      <c r="I38" s="57" t="s">
        <v>541</v>
      </c>
    </row>
    <row r="39" spans="2:13">
      <c r="B39" s="34" t="s">
        <v>437</v>
      </c>
      <c r="C39" s="55">
        <v>3</v>
      </c>
      <c r="D39" t="s">
        <v>881</v>
      </c>
      <c r="E39" s="56"/>
      <c r="F39" s="56"/>
      <c r="G39" s="56">
        <v>13158</v>
      </c>
      <c r="H39" s="56" t="s">
        <v>746</v>
      </c>
      <c r="I39" s="57" t="s">
        <v>542</v>
      </c>
    </row>
    <row r="40" spans="2:13">
      <c r="B40" s="34" t="s">
        <v>437</v>
      </c>
      <c r="C40" s="55">
        <v>3</v>
      </c>
      <c r="D40" s="55" t="s">
        <v>420</v>
      </c>
      <c r="E40" s="55"/>
      <c r="F40" s="55"/>
      <c r="G40" s="55">
        <v>13159</v>
      </c>
      <c r="H40" s="55">
        <v>1</v>
      </c>
      <c r="I40" t="s">
        <v>878</v>
      </c>
      <c r="J40" s="55"/>
    </row>
    <row r="41" spans="2:13">
      <c r="B41" s="34" t="s">
        <v>437</v>
      </c>
      <c r="C41" s="55">
        <v>3</v>
      </c>
      <c r="D41" s="55" t="s">
        <v>421</v>
      </c>
      <c r="E41" s="55"/>
      <c r="F41" s="55"/>
      <c r="G41" s="55">
        <v>13160</v>
      </c>
      <c r="H41" s="55">
        <v>1</v>
      </c>
      <c r="I41" t="s">
        <v>878</v>
      </c>
      <c r="J41" s="55"/>
    </row>
    <row r="42" spans="2:13">
      <c r="C42" s="38"/>
      <c r="D42" s="29"/>
      <c r="I42" s="35"/>
      <c r="M42" s="29"/>
    </row>
    <row r="43" spans="2:13">
      <c r="C43" s="38"/>
      <c r="D43"/>
      <c r="I43" s="35"/>
    </row>
    <row r="44" spans="2:13">
      <c r="C44" s="38"/>
    </row>
    <row r="45" spans="2:13">
      <c r="B45" s="34" t="s">
        <v>437</v>
      </c>
      <c r="C45" s="38">
        <v>3</v>
      </c>
      <c r="D45" t="s">
        <v>882</v>
      </c>
      <c r="G45">
        <v>13160</v>
      </c>
      <c r="H45" s="34">
        <v>1</v>
      </c>
      <c r="I45" s="64" t="s">
        <v>878</v>
      </c>
      <c r="K45" s="34">
        <v>0</v>
      </c>
    </row>
    <row r="46" spans="2:13">
      <c r="C46" s="38"/>
    </row>
    <row r="47" spans="2:13">
      <c r="B47" s="34" t="s">
        <v>437</v>
      </c>
      <c r="C47" s="55">
        <v>3</v>
      </c>
      <c r="D47" s="34" t="s">
        <v>883</v>
      </c>
      <c r="G47">
        <v>13161</v>
      </c>
      <c r="H47" s="34">
        <v>1</v>
      </c>
      <c r="I47" t="s">
        <v>878</v>
      </c>
    </row>
    <row r="48" spans="2:13">
      <c r="B48" s="34" t="s">
        <v>437</v>
      </c>
      <c r="C48" s="55">
        <v>3</v>
      </c>
      <c r="D48" s="34" t="s">
        <v>288</v>
      </c>
      <c r="G48" s="34">
        <v>13162</v>
      </c>
      <c r="H48" s="34" t="s">
        <v>745</v>
      </c>
      <c r="I48" s="34" t="s">
        <v>870</v>
      </c>
    </row>
    <row r="49" spans="2:9">
      <c r="B49" s="34" t="s">
        <v>437</v>
      </c>
      <c r="C49" s="55">
        <v>3</v>
      </c>
      <c r="D49" s="34" t="s">
        <v>424</v>
      </c>
      <c r="G49" s="34">
        <v>13162</v>
      </c>
      <c r="H49" s="34" t="s">
        <v>746</v>
      </c>
    </row>
    <row r="51" spans="2:9">
      <c r="B51" s="34" t="s">
        <v>437</v>
      </c>
      <c r="D51" t="s">
        <v>884</v>
      </c>
      <c r="G51">
        <v>13167</v>
      </c>
      <c r="H51" s="34" t="s">
        <v>745</v>
      </c>
      <c r="I51" s="34" t="s">
        <v>425</v>
      </c>
    </row>
    <row r="52" spans="2:9">
      <c r="B52" s="34" t="s">
        <v>437</v>
      </c>
      <c r="D52" t="s">
        <v>885</v>
      </c>
      <c r="G52" s="64">
        <v>13167</v>
      </c>
      <c r="H52" s="34" t="s">
        <v>746</v>
      </c>
      <c r="I52" s="34" t="s">
        <v>425</v>
      </c>
    </row>
    <row r="53" spans="2:9">
      <c r="D53"/>
    </row>
    <row r="54" spans="2:9">
      <c r="B54" s="34" t="s">
        <v>437</v>
      </c>
      <c r="D54" t="s">
        <v>886</v>
      </c>
      <c r="G54">
        <v>13168</v>
      </c>
      <c r="H54" s="34" t="s">
        <v>746</v>
      </c>
      <c r="I54" s="34" t="s">
        <v>425</v>
      </c>
    </row>
    <row r="55" spans="2:9">
      <c r="D55"/>
    </row>
    <row r="56" spans="2:9">
      <c r="B56" s="34" t="s">
        <v>437</v>
      </c>
      <c r="D56" t="s">
        <v>887</v>
      </c>
      <c r="G56">
        <v>13169</v>
      </c>
      <c r="H56" s="34" t="s">
        <v>746</v>
      </c>
      <c r="I56" s="34" t="s">
        <v>425</v>
      </c>
    </row>
    <row r="57" spans="2:9">
      <c r="B57" s="34" t="s">
        <v>437</v>
      </c>
      <c r="D57" t="s">
        <v>888</v>
      </c>
      <c r="G57">
        <v>13170</v>
      </c>
      <c r="H57" s="34" t="s">
        <v>745</v>
      </c>
      <c r="I57" s="34" t="s">
        <v>425</v>
      </c>
    </row>
    <row r="58" spans="2:9">
      <c r="B58" s="34" t="s">
        <v>437</v>
      </c>
      <c r="D58" t="s">
        <v>889</v>
      </c>
      <c r="G58">
        <v>13170</v>
      </c>
      <c r="H58" s="34" t="s">
        <v>746</v>
      </c>
      <c r="I58" s="34" t="s">
        <v>425</v>
      </c>
    </row>
    <row r="59" spans="2:9">
      <c r="B59" s="34" t="s">
        <v>437</v>
      </c>
      <c r="D59" t="s">
        <v>890</v>
      </c>
      <c r="G59">
        <v>13171</v>
      </c>
      <c r="H59" s="34" t="s">
        <v>745</v>
      </c>
      <c r="I59" s="34" t="s">
        <v>425</v>
      </c>
    </row>
    <row r="60" spans="2:9">
      <c r="B60" s="34" t="s">
        <v>437</v>
      </c>
      <c r="D60" t="s">
        <v>891</v>
      </c>
      <c r="G60">
        <v>13171</v>
      </c>
      <c r="H60" s="34" t="s">
        <v>746</v>
      </c>
      <c r="I60" s="34" t="s">
        <v>425</v>
      </c>
    </row>
    <row r="61" spans="2:9">
      <c r="B61" s="34" t="s">
        <v>437</v>
      </c>
      <c r="D61" t="s">
        <v>682</v>
      </c>
      <c r="G61">
        <v>13172</v>
      </c>
      <c r="H61" s="34" t="s">
        <v>746</v>
      </c>
      <c r="I61" s="34" t="s">
        <v>425</v>
      </c>
    </row>
    <row r="62" spans="2:9">
      <c r="B62" s="34" t="s">
        <v>437</v>
      </c>
      <c r="D62" t="s">
        <v>892</v>
      </c>
      <c r="G62">
        <v>13173</v>
      </c>
      <c r="H62" s="34" t="s">
        <v>745</v>
      </c>
      <c r="I62" s="34" t="s">
        <v>425</v>
      </c>
    </row>
    <row r="63" spans="2:9">
      <c r="B63" s="34" t="s">
        <v>437</v>
      </c>
      <c r="D63" t="s">
        <v>893</v>
      </c>
      <c r="G63">
        <v>13173</v>
      </c>
      <c r="H63" s="34" t="s">
        <v>746</v>
      </c>
      <c r="I63" s="34" t="s">
        <v>425</v>
      </c>
    </row>
    <row r="64" spans="2:9">
      <c r="B64" s="34" t="s">
        <v>437</v>
      </c>
      <c r="D64" t="s">
        <v>836</v>
      </c>
      <c r="G64">
        <v>13174</v>
      </c>
      <c r="H64" s="34" t="s">
        <v>745</v>
      </c>
      <c r="I64" s="34" t="s">
        <v>425</v>
      </c>
    </row>
    <row r="65" spans="2:9">
      <c r="B65" s="34" t="s">
        <v>437</v>
      </c>
      <c r="D65" t="s">
        <v>894</v>
      </c>
      <c r="G65">
        <v>13174</v>
      </c>
      <c r="H65" s="34" t="s">
        <v>746</v>
      </c>
      <c r="I65" s="34" t="s">
        <v>425</v>
      </c>
    </row>
    <row r="66" spans="2:9">
      <c r="B66" s="34" t="s">
        <v>437</v>
      </c>
      <c r="D66" t="s">
        <v>895</v>
      </c>
      <c r="G66">
        <v>13175</v>
      </c>
      <c r="H66" s="34" t="s">
        <v>745</v>
      </c>
      <c r="I66" s="34" t="s">
        <v>425</v>
      </c>
    </row>
    <row r="67" spans="2:9">
      <c r="B67" s="34" t="s">
        <v>437</v>
      </c>
      <c r="D67" t="s">
        <v>896</v>
      </c>
      <c r="G67">
        <v>13175</v>
      </c>
      <c r="H67" s="34" t="s">
        <v>746</v>
      </c>
      <c r="I67" s="34" t="s">
        <v>425</v>
      </c>
    </row>
    <row r="68" spans="2:9">
      <c r="D68"/>
    </row>
    <row r="69" spans="2:9">
      <c r="D69"/>
    </row>
    <row r="70" spans="2:9">
      <c r="B70" t="s">
        <v>897</v>
      </c>
      <c r="C70" s="37">
        <v>3</v>
      </c>
      <c r="D70" t="s">
        <v>439</v>
      </c>
      <c r="G70" s="34">
        <v>13569</v>
      </c>
      <c r="H70" s="34">
        <v>6</v>
      </c>
      <c r="I70" s="34" t="s">
        <v>539</v>
      </c>
    </row>
    <row r="71" spans="2:9">
      <c r="B71" s="64" t="s">
        <v>897</v>
      </c>
      <c r="C71" s="52">
        <v>3</v>
      </c>
      <c r="D71" s="52" t="s">
        <v>440</v>
      </c>
      <c r="G71" s="34">
        <f>G70+H70</f>
        <v>13575</v>
      </c>
      <c r="H71" s="34">
        <v>6</v>
      </c>
      <c r="I71" s="34" t="s">
        <v>539</v>
      </c>
    </row>
    <row r="72" spans="2:9">
      <c r="B72" s="64" t="s">
        <v>897</v>
      </c>
      <c r="C72" s="52">
        <v>3</v>
      </c>
      <c r="D72" s="52" t="s">
        <v>441</v>
      </c>
      <c r="G72" s="34">
        <f t="shared" ref="G72:G89" si="1">G71+H71</f>
        <v>13581</v>
      </c>
      <c r="H72" s="34">
        <v>6</v>
      </c>
      <c r="I72" s="34" t="s">
        <v>539</v>
      </c>
    </row>
    <row r="73" spans="2:9">
      <c r="B73" s="64" t="s">
        <v>897</v>
      </c>
      <c r="C73" s="52">
        <v>3</v>
      </c>
      <c r="D73" s="52" t="s">
        <v>442</v>
      </c>
      <c r="G73" s="34">
        <f t="shared" si="1"/>
        <v>13587</v>
      </c>
      <c r="H73" s="34">
        <v>6</v>
      </c>
      <c r="I73" s="34" t="s">
        <v>539</v>
      </c>
    </row>
    <row r="74" spans="2:9">
      <c r="B74" s="64" t="s">
        <v>897</v>
      </c>
      <c r="C74" s="52">
        <v>3</v>
      </c>
      <c r="D74" s="52" t="s">
        <v>443</v>
      </c>
      <c r="G74" s="34">
        <f t="shared" si="1"/>
        <v>13593</v>
      </c>
      <c r="H74" s="34">
        <v>6</v>
      </c>
      <c r="I74" s="34" t="s">
        <v>539</v>
      </c>
    </row>
    <row r="75" spans="2:9">
      <c r="B75" s="64" t="s">
        <v>897</v>
      </c>
      <c r="C75" s="52">
        <v>3</v>
      </c>
      <c r="D75" s="52" t="s">
        <v>444</v>
      </c>
      <c r="G75" s="34">
        <f t="shared" si="1"/>
        <v>13599</v>
      </c>
      <c r="H75" s="34">
        <v>6</v>
      </c>
      <c r="I75" s="34" t="s">
        <v>539</v>
      </c>
    </row>
    <row r="76" spans="2:9">
      <c r="B76" s="64" t="s">
        <v>897</v>
      </c>
      <c r="C76" s="52">
        <v>3</v>
      </c>
      <c r="D76" s="52" t="s">
        <v>445</v>
      </c>
      <c r="G76" s="34">
        <f t="shared" si="1"/>
        <v>13605</v>
      </c>
      <c r="H76" s="34">
        <v>6</v>
      </c>
      <c r="I76" s="34" t="s">
        <v>539</v>
      </c>
    </row>
    <row r="77" spans="2:9">
      <c r="B77" s="64" t="s">
        <v>897</v>
      </c>
      <c r="C77" s="52">
        <v>3</v>
      </c>
      <c r="D77" s="52" t="s">
        <v>446</v>
      </c>
      <c r="G77" s="34">
        <f t="shared" si="1"/>
        <v>13611</v>
      </c>
      <c r="H77" s="34">
        <v>6</v>
      </c>
      <c r="I77" s="34" t="s">
        <v>539</v>
      </c>
    </row>
    <row r="78" spans="2:9">
      <c r="B78" s="64" t="s">
        <v>897</v>
      </c>
      <c r="C78" s="52">
        <v>3</v>
      </c>
      <c r="D78" s="52" t="s">
        <v>447</v>
      </c>
      <c r="G78" s="34">
        <f t="shared" si="1"/>
        <v>13617</v>
      </c>
      <c r="H78" s="34">
        <v>6</v>
      </c>
      <c r="I78" s="34" t="s">
        <v>539</v>
      </c>
    </row>
    <row r="79" spans="2:9">
      <c r="B79" s="64" t="s">
        <v>897</v>
      </c>
      <c r="C79" s="52">
        <v>3</v>
      </c>
      <c r="D79" s="52" t="s">
        <v>448</v>
      </c>
      <c r="G79" s="34">
        <f t="shared" si="1"/>
        <v>13623</v>
      </c>
      <c r="H79" s="34">
        <v>6</v>
      </c>
      <c r="I79" s="34" t="s">
        <v>539</v>
      </c>
    </row>
    <row r="80" spans="2:9">
      <c r="B80" s="64" t="s">
        <v>897</v>
      </c>
      <c r="C80" s="52">
        <v>3</v>
      </c>
      <c r="D80" s="52" t="s">
        <v>449</v>
      </c>
      <c r="G80" s="34">
        <f t="shared" si="1"/>
        <v>13629</v>
      </c>
      <c r="H80" s="34">
        <v>6</v>
      </c>
      <c r="I80" s="34" t="s">
        <v>539</v>
      </c>
    </row>
    <row r="81" spans="2:9">
      <c r="B81" s="64" t="s">
        <v>897</v>
      </c>
      <c r="C81" s="52">
        <v>3</v>
      </c>
      <c r="D81" s="52" t="s">
        <v>450</v>
      </c>
      <c r="G81" s="34">
        <f t="shared" si="1"/>
        <v>13635</v>
      </c>
      <c r="H81" s="34">
        <v>6</v>
      </c>
      <c r="I81" s="34" t="s">
        <v>539</v>
      </c>
    </row>
    <row r="82" spans="2:9">
      <c r="B82" s="64" t="s">
        <v>897</v>
      </c>
      <c r="C82" s="52">
        <v>3</v>
      </c>
      <c r="D82" s="52" t="s">
        <v>450</v>
      </c>
      <c r="G82" s="34">
        <f t="shared" si="1"/>
        <v>13641</v>
      </c>
      <c r="H82" s="34">
        <v>6</v>
      </c>
      <c r="I82" s="34" t="s">
        <v>539</v>
      </c>
    </row>
    <row r="83" spans="2:9">
      <c r="B83" s="64" t="s">
        <v>897</v>
      </c>
      <c r="C83" s="52">
        <v>3</v>
      </c>
      <c r="D83" s="52" t="s">
        <v>451</v>
      </c>
      <c r="G83" s="34">
        <f t="shared" si="1"/>
        <v>13647</v>
      </c>
      <c r="H83" s="34">
        <v>6</v>
      </c>
      <c r="I83" s="34" t="s">
        <v>539</v>
      </c>
    </row>
    <row r="84" spans="2:9">
      <c r="B84" s="64" t="s">
        <v>897</v>
      </c>
      <c r="C84" s="52">
        <v>3</v>
      </c>
      <c r="D84" s="52" t="s">
        <v>452</v>
      </c>
      <c r="G84" s="34">
        <f t="shared" si="1"/>
        <v>13653</v>
      </c>
      <c r="H84" s="34">
        <v>6</v>
      </c>
      <c r="I84" s="34" t="s">
        <v>539</v>
      </c>
    </row>
    <row r="85" spans="2:9">
      <c r="B85" s="64" t="s">
        <v>897</v>
      </c>
      <c r="C85" s="52">
        <v>3</v>
      </c>
      <c r="D85" s="52" t="s">
        <v>453</v>
      </c>
      <c r="G85" s="34">
        <f t="shared" si="1"/>
        <v>13659</v>
      </c>
      <c r="H85" s="34">
        <v>6</v>
      </c>
      <c r="I85" s="34" t="s">
        <v>539</v>
      </c>
    </row>
    <row r="86" spans="2:9">
      <c r="B86" s="64" t="s">
        <v>897</v>
      </c>
      <c r="C86" s="52">
        <v>3</v>
      </c>
      <c r="D86" s="52" t="s">
        <v>454</v>
      </c>
      <c r="G86" s="34">
        <f t="shared" si="1"/>
        <v>13665</v>
      </c>
      <c r="H86" s="34">
        <v>6</v>
      </c>
      <c r="I86" s="34" t="s">
        <v>539</v>
      </c>
    </row>
    <row r="87" spans="2:9">
      <c r="B87" s="64" t="s">
        <v>897</v>
      </c>
      <c r="C87" s="52">
        <v>3</v>
      </c>
      <c r="D87" s="52" t="s">
        <v>455</v>
      </c>
      <c r="G87" s="34">
        <f t="shared" si="1"/>
        <v>13671</v>
      </c>
      <c r="H87" s="34">
        <v>6</v>
      </c>
      <c r="I87" s="34" t="s">
        <v>539</v>
      </c>
    </row>
    <row r="88" spans="2:9">
      <c r="B88" s="64" t="s">
        <v>897</v>
      </c>
      <c r="C88" s="52">
        <v>3</v>
      </c>
      <c r="D88" s="52" t="s">
        <v>456</v>
      </c>
      <c r="G88" s="34">
        <f t="shared" si="1"/>
        <v>13677</v>
      </c>
      <c r="H88" s="34">
        <v>6</v>
      </c>
      <c r="I88" s="34" t="s">
        <v>539</v>
      </c>
    </row>
    <row r="89" spans="2:9">
      <c r="B89" s="64" t="s">
        <v>897</v>
      </c>
      <c r="C89" s="52">
        <v>3</v>
      </c>
      <c r="D89" s="52" t="s">
        <v>457</v>
      </c>
      <c r="G89" s="34">
        <f t="shared" si="1"/>
        <v>13683</v>
      </c>
      <c r="H89" s="34">
        <v>6</v>
      </c>
      <c r="I89" s="34" t="s">
        <v>539</v>
      </c>
    </row>
    <row r="90" spans="2:9">
      <c r="B90" s="64" t="s">
        <v>897</v>
      </c>
      <c r="C90" s="37">
        <v>3</v>
      </c>
      <c r="D90" s="52" t="s">
        <v>458</v>
      </c>
      <c r="G90" s="34">
        <v>13689</v>
      </c>
      <c r="H90" s="34" t="s">
        <v>745</v>
      </c>
      <c r="I90" s="34" t="s">
        <v>425</v>
      </c>
    </row>
    <row r="91" spans="2:9">
      <c r="D91" s="52"/>
    </row>
    <row r="92" spans="2:9">
      <c r="B92" t="s">
        <v>459</v>
      </c>
      <c r="C92" s="52">
        <v>3</v>
      </c>
      <c r="D92" t="s">
        <v>460</v>
      </c>
      <c r="G92">
        <v>13825</v>
      </c>
      <c r="H92" s="34">
        <v>6</v>
      </c>
      <c r="I92" s="34" t="s">
        <v>539</v>
      </c>
    </row>
    <row r="93" spans="2:9">
      <c r="B93" s="52" t="s">
        <v>459</v>
      </c>
      <c r="C93" s="52">
        <v>3</v>
      </c>
      <c r="D93" s="52" t="s">
        <v>461</v>
      </c>
      <c r="G93" s="34">
        <f>G92+H92</f>
        <v>13831</v>
      </c>
      <c r="H93" s="34">
        <v>6</v>
      </c>
      <c r="I93" s="34" t="s">
        <v>539</v>
      </c>
    </row>
    <row r="94" spans="2:9">
      <c r="B94" s="52" t="s">
        <v>459</v>
      </c>
      <c r="C94" s="52">
        <v>3</v>
      </c>
      <c r="D94" s="52" t="s">
        <v>462</v>
      </c>
      <c r="G94" s="34">
        <f t="shared" ref="G94:G112" si="2">G93+H93</f>
        <v>13837</v>
      </c>
      <c r="H94" s="34">
        <v>6</v>
      </c>
      <c r="I94" s="34" t="s">
        <v>539</v>
      </c>
    </row>
    <row r="95" spans="2:9">
      <c r="B95" s="52" t="s">
        <v>459</v>
      </c>
      <c r="C95" s="52">
        <v>3</v>
      </c>
      <c r="D95" s="52" t="s">
        <v>463</v>
      </c>
      <c r="G95" s="34">
        <f t="shared" si="2"/>
        <v>13843</v>
      </c>
      <c r="H95" s="34">
        <v>6</v>
      </c>
      <c r="I95" s="34" t="s">
        <v>539</v>
      </c>
    </row>
    <row r="96" spans="2:9">
      <c r="B96" s="52" t="s">
        <v>459</v>
      </c>
      <c r="C96" s="52">
        <v>3</v>
      </c>
      <c r="D96" s="52" t="s">
        <v>464</v>
      </c>
      <c r="G96" s="34">
        <f t="shared" si="2"/>
        <v>13849</v>
      </c>
      <c r="H96" s="34">
        <v>6</v>
      </c>
      <c r="I96" s="34" t="s">
        <v>539</v>
      </c>
    </row>
    <row r="97" spans="2:9">
      <c r="B97" s="52" t="s">
        <v>459</v>
      </c>
      <c r="C97" s="52">
        <v>3</v>
      </c>
      <c r="D97" s="52" t="s">
        <v>465</v>
      </c>
      <c r="G97" s="34">
        <f t="shared" si="2"/>
        <v>13855</v>
      </c>
      <c r="H97" s="34">
        <v>6</v>
      </c>
      <c r="I97" s="34" t="s">
        <v>539</v>
      </c>
    </row>
    <row r="98" spans="2:9">
      <c r="B98" s="52" t="s">
        <v>459</v>
      </c>
      <c r="C98" s="52">
        <v>3</v>
      </c>
      <c r="D98" s="52" t="s">
        <v>466</v>
      </c>
      <c r="G98" s="34">
        <f t="shared" si="2"/>
        <v>13861</v>
      </c>
      <c r="H98" s="34">
        <v>6</v>
      </c>
      <c r="I98" s="34" t="s">
        <v>539</v>
      </c>
    </row>
    <row r="99" spans="2:9">
      <c r="B99" s="52" t="s">
        <v>459</v>
      </c>
      <c r="C99" s="52">
        <v>3</v>
      </c>
      <c r="D99" s="52" t="s">
        <v>467</v>
      </c>
      <c r="G99" s="34">
        <f t="shared" si="2"/>
        <v>13867</v>
      </c>
      <c r="H99" s="34">
        <v>6</v>
      </c>
      <c r="I99" s="34" t="s">
        <v>539</v>
      </c>
    </row>
    <row r="100" spans="2:9">
      <c r="B100" s="52" t="s">
        <v>459</v>
      </c>
      <c r="C100" s="52">
        <v>3</v>
      </c>
      <c r="D100" s="52" t="s">
        <v>468</v>
      </c>
      <c r="G100" s="34">
        <f t="shared" si="2"/>
        <v>13873</v>
      </c>
      <c r="H100" s="34">
        <v>6</v>
      </c>
      <c r="I100" s="34" t="s">
        <v>539</v>
      </c>
    </row>
    <row r="101" spans="2:9">
      <c r="B101" s="52" t="s">
        <v>459</v>
      </c>
      <c r="C101" s="52">
        <v>3</v>
      </c>
      <c r="D101" s="52" t="s">
        <v>469</v>
      </c>
      <c r="G101" s="34">
        <f t="shared" si="2"/>
        <v>13879</v>
      </c>
      <c r="H101" s="34">
        <v>6</v>
      </c>
      <c r="I101" s="34" t="s">
        <v>539</v>
      </c>
    </row>
    <row r="102" spans="2:9">
      <c r="B102" s="52" t="s">
        <v>459</v>
      </c>
      <c r="C102" s="52">
        <v>3</v>
      </c>
      <c r="D102" s="52" t="s">
        <v>470</v>
      </c>
      <c r="G102" s="34">
        <f t="shared" si="2"/>
        <v>13885</v>
      </c>
      <c r="H102" s="34">
        <v>6</v>
      </c>
      <c r="I102" s="34" t="s">
        <v>539</v>
      </c>
    </row>
    <row r="103" spans="2:9">
      <c r="B103" s="52" t="s">
        <v>459</v>
      </c>
      <c r="C103" s="52">
        <v>3</v>
      </c>
      <c r="D103" s="52" t="s">
        <v>471</v>
      </c>
      <c r="G103" s="34">
        <f t="shared" si="2"/>
        <v>13891</v>
      </c>
      <c r="H103" s="34">
        <v>6</v>
      </c>
      <c r="I103" s="34" t="s">
        <v>539</v>
      </c>
    </row>
    <row r="104" spans="2:9">
      <c r="B104" s="52" t="s">
        <v>459</v>
      </c>
      <c r="C104" s="52">
        <v>3</v>
      </c>
      <c r="D104" s="52" t="s">
        <v>472</v>
      </c>
      <c r="G104" s="34">
        <f t="shared" si="2"/>
        <v>13897</v>
      </c>
      <c r="H104" s="34">
        <v>6</v>
      </c>
      <c r="I104" s="34" t="s">
        <v>539</v>
      </c>
    </row>
    <row r="105" spans="2:9">
      <c r="B105" s="52" t="s">
        <v>459</v>
      </c>
      <c r="C105" s="52">
        <v>3</v>
      </c>
      <c r="D105" s="52" t="s">
        <v>473</v>
      </c>
      <c r="G105" s="34">
        <f t="shared" si="2"/>
        <v>13903</v>
      </c>
      <c r="H105" s="34">
        <v>6</v>
      </c>
      <c r="I105" s="34" t="s">
        <v>539</v>
      </c>
    </row>
    <row r="106" spans="2:9">
      <c r="B106" s="52" t="s">
        <v>459</v>
      </c>
      <c r="C106" s="52">
        <v>3</v>
      </c>
      <c r="D106" s="52" t="s">
        <v>474</v>
      </c>
      <c r="G106" s="34">
        <f t="shared" si="2"/>
        <v>13909</v>
      </c>
      <c r="H106" s="34">
        <v>6</v>
      </c>
      <c r="I106" s="34" t="s">
        <v>539</v>
      </c>
    </row>
    <row r="107" spans="2:9">
      <c r="B107" s="52" t="s">
        <v>459</v>
      </c>
      <c r="C107" s="52">
        <v>3</v>
      </c>
      <c r="D107" s="52" t="s">
        <v>475</v>
      </c>
      <c r="G107" s="34">
        <f t="shared" si="2"/>
        <v>13915</v>
      </c>
      <c r="H107" s="34">
        <v>6</v>
      </c>
      <c r="I107" s="34" t="s">
        <v>539</v>
      </c>
    </row>
    <row r="108" spans="2:9">
      <c r="B108" s="52" t="s">
        <v>459</v>
      </c>
      <c r="C108" s="52">
        <v>3</v>
      </c>
      <c r="D108" s="52" t="s">
        <v>476</v>
      </c>
      <c r="G108" s="34">
        <f t="shared" si="2"/>
        <v>13921</v>
      </c>
      <c r="H108" s="34">
        <v>6</v>
      </c>
      <c r="I108" s="34" t="s">
        <v>539</v>
      </c>
    </row>
    <row r="109" spans="2:9">
      <c r="B109" s="52" t="s">
        <v>459</v>
      </c>
      <c r="C109" s="52">
        <v>3</v>
      </c>
      <c r="D109" s="52" t="s">
        <v>477</v>
      </c>
      <c r="G109" s="34">
        <f t="shared" si="2"/>
        <v>13927</v>
      </c>
      <c r="H109" s="34">
        <v>6</v>
      </c>
      <c r="I109" s="34" t="s">
        <v>539</v>
      </c>
    </row>
    <row r="110" spans="2:9">
      <c r="B110" s="52" t="s">
        <v>459</v>
      </c>
      <c r="C110" s="52">
        <v>3</v>
      </c>
      <c r="D110" s="52" t="s">
        <v>478</v>
      </c>
      <c r="G110" s="34">
        <f t="shared" si="2"/>
        <v>13933</v>
      </c>
      <c r="H110" s="34">
        <v>6</v>
      </c>
      <c r="I110" s="34" t="s">
        <v>539</v>
      </c>
    </row>
    <row r="111" spans="2:9">
      <c r="B111" s="52" t="s">
        <v>459</v>
      </c>
      <c r="C111" s="52">
        <v>3</v>
      </c>
      <c r="D111" s="52" t="s">
        <v>479</v>
      </c>
      <c r="G111" s="34">
        <f t="shared" si="2"/>
        <v>13939</v>
      </c>
      <c r="H111" s="34">
        <v>6</v>
      </c>
      <c r="I111" s="34" t="s">
        <v>539</v>
      </c>
    </row>
    <row r="112" spans="2:9">
      <c r="B112" s="52" t="s">
        <v>459</v>
      </c>
      <c r="C112" s="52">
        <v>3</v>
      </c>
      <c r="D112" s="52" t="s">
        <v>458</v>
      </c>
      <c r="G112" s="34">
        <f t="shared" si="2"/>
        <v>13945</v>
      </c>
      <c r="H112" s="34" t="s">
        <v>745</v>
      </c>
      <c r="I112" s="34" t="s">
        <v>425</v>
      </c>
    </row>
    <row r="113" spans="1:13">
      <c r="A113" s="59"/>
      <c r="B113" s="60"/>
      <c r="C113" s="60"/>
      <c r="D113" s="60"/>
      <c r="E113" s="59"/>
      <c r="F113" s="59"/>
      <c r="G113" s="59"/>
      <c r="H113" s="59"/>
      <c r="I113" s="59"/>
      <c r="J113" s="59"/>
      <c r="K113" s="59"/>
      <c r="L113" s="59"/>
      <c r="M113" s="59"/>
    </row>
    <row r="114" spans="1:13">
      <c r="B114" s="52" t="s">
        <v>480</v>
      </c>
      <c r="C114" s="52">
        <v>3</v>
      </c>
      <c r="D114" t="s">
        <v>488</v>
      </c>
      <c r="G114">
        <v>16385</v>
      </c>
      <c r="H114" s="34">
        <v>2</v>
      </c>
      <c r="I114" t="s">
        <v>481</v>
      </c>
    </row>
    <row r="115" spans="1:13">
      <c r="B115" s="52" t="s">
        <v>480</v>
      </c>
      <c r="C115" s="52">
        <v>3</v>
      </c>
      <c r="D115" s="52" t="s">
        <v>489</v>
      </c>
      <c r="G115" s="34">
        <f>G114+H114</f>
        <v>16387</v>
      </c>
      <c r="H115" s="34">
        <v>2</v>
      </c>
      <c r="I115" s="52" t="s">
        <v>481</v>
      </c>
    </row>
    <row r="116" spans="1:13">
      <c r="B116" s="52" t="s">
        <v>480</v>
      </c>
      <c r="C116" s="52">
        <v>3</v>
      </c>
      <c r="D116" s="52" t="s">
        <v>490</v>
      </c>
      <c r="G116" s="34">
        <f t="shared" ref="G116:G142" si="3">G115+H115</f>
        <v>16389</v>
      </c>
      <c r="H116" s="34">
        <v>2</v>
      </c>
      <c r="I116" s="52" t="s">
        <v>481</v>
      </c>
    </row>
    <row r="117" spans="1:13">
      <c r="B117" s="52" t="s">
        <v>480</v>
      </c>
      <c r="C117" s="52">
        <v>3</v>
      </c>
      <c r="D117" s="52" t="s">
        <v>491</v>
      </c>
      <c r="G117" s="34">
        <f t="shared" si="3"/>
        <v>16391</v>
      </c>
      <c r="H117" s="34">
        <v>2</v>
      </c>
      <c r="I117" s="52" t="s">
        <v>481</v>
      </c>
    </row>
    <row r="118" spans="1:13">
      <c r="B118" s="52" t="s">
        <v>480</v>
      </c>
      <c r="C118" s="52">
        <v>3</v>
      </c>
      <c r="D118" s="52" t="s">
        <v>492</v>
      </c>
      <c r="G118" s="34">
        <f t="shared" si="3"/>
        <v>16393</v>
      </c>
      <c r="H118" s="34">
        <v>2</v>
      </c>
      <c r="I118" s="52" t="s">
        <v>481</v>
      </c>
    </row>
    <row r="119" spans="1:13">
      <c r="B119" s="52" t="s">
        <v>480</v>
      </c>
      <c r="C119" s="52">
        <v>3</v>
      </c>
      <c r="D119" s="52" t="s">
        <v>493</v>
      </c>
      <c r="G119" s="34">
        <f t="shared" si="3"/>
        <v>16395</v>
      </c>
      <c r="H119" s="34">
        <v>2</v>
      </c>
      <c r="I119" s="52" t="s">
        <v>481</v>
      </c>
    </row>
    <row r="120" spans="1:13">
      <c r="B120" s="52" t="s">
        <v>480</v>
      </c>
      <c r="C120" s="52">
        <v>3</v>
      </c>
      <c r="D120" s="52" t="s">
        <v>494</v>
      </c>
      <c r="G120" s="34">
        <f t="shared" si="3"/>
        <v>16397</v>
      </c>
      <c r="H120" s="34">
        <v>2</v>
      </c>
      <c r="I120" s="52" t="s">
        <v>481</v>
      </c>
    </row>
    <row r="121" spans="1:13">
      <c r="B121" s="52" t="s">
        <v>480</v>
      </c>
      <c r="C121" s="52">
        <v>3</v>
      </c>
      <c r="D121" s="52" t="s">
        <v>495</v>
      </c>
      <c r="G121" s="34">
        <f t="shared" si="3"/>
        <v>16399</v>
      </c>
      <c r="H121" s="34">
        <v>2</v>
      </c>
      <c r="I121" s="52" t="s">
        <v>481</v>
      </c>
    </row>
    <row r="122" spans="1:13">
      <c r="B122" s="52" t="s">
        <v>480</v>
      </c>
      <c r="C122" s="52">
        <v>3</v>
      </c>
      <c r="D122" s="52" t="s">
        <v>496</v>
      </c>
      <c r="G122" s="34">
        <f t="shared" si="3"/>
        <v>16401</v>
      </c>
      <c r="H122" s="34">
        <v>2</v>
      </c>
      <c r="I122" s="52" t="s">
        <v>481</v>
      </c>
    </row>
    <row r="123" spans="1:13">
      <c r="B123" s="52" t="s">
        <v>480</v>
      </c>
      <c r="C123" s="52">
        <v>3</v>
      </c>
      <c r="D123" s="52" t="s">
        <v>497</v>
      </c>
      <c r="G123" s="34">
        <f t="shared" si="3"/>
        <v>16403</v>
      </c>
      <c r="H123" s="34">
        <v>2</v>
      </c>
      <c r="I123" s="52" t="s">
        <v>481</v>
      </c>
    </row>
    <row r="124" spans="1:13">
      <c r="B124" s="52" t="s">
        <v>480</v>
      </c>
      <c r="C124" s="52">
        <v>3</v>
      </c>
      <c r="D124" s="52" t="s">
        <v>498</v>
      </c>
      <c r="G124" s="34">
        <f t="shared" si="3"/>
        <v>16405</v>
      </c>
      <c r="H124" s="34">
        <v>2</v>
      </c>
      <c r="I124" s="52" t="s">
        <v>481</v>
      </c>
    </row>
    <row r="125" spans="1:13">
      <c r="B125" s="52" t="s">
        <v>480</v>
      </c>
      <c r="C125" s="52">
        <v>3</v>
      </c>
      <c r="D125" s="52" t="s">
        <v>499</v>
      </c>
      <c r="G125" s="34">
        <f t="shared" si="3"/>
        <v>16407</v>
      </c>
      <c r="H125" s="34">
        <v>2</v>
      </c>
      <c r="I125" s="52" t="s">
        <v>481</v>
      </c>
    </row>
    <row r="126" spans="1:13">
      <c r="B126" s="52" t="s">
        <v>480</v>
      </c>
      <c r="C126" s="52">
        <v>3</v>
      </c>
      <c r="D126" s="52" t="s">
        <v>500</v>
      </c>
      <c r="G126" s="34">
        <f t="shared" si="3"/>
        <v>16409</v>
      </c>
      <c r="H126" s="34">
        <v>2</v>
      </c>
      <c r="I126" s="52" t="s">
        <v>481</v>
      </c>
    </row>
    <row r="127" spans="1:13">
      <c r="B127" s="52" t="s">
        <v>480</v>
      </c>
      <c r="C127" s="52">
        <v>3</v>
      </c>
      <c r="D127" s="52" t="s">
        <v>501</v>
      </c>
      <c r="G127" s="34">
        <f t="shared" si="3"/>
        <v>16411</v>
      </c>
      <c r="H127" s="34">
        <v>2</v>
      </c>
      <c r="I127" s="52" t="s">
        <v>481</v>
      </c>
    </row>
    <row r="128" spans="1:13">
      <c r="B128" s="52" t="s">
        <v>480</v>
      </c>
      <c r="C128" s="52">
        <v>3</v>
      </c>
      <c r="D128" s="52" t="s">
        <v>502</v>
      </c>
      <c r="G128" s="34">
        <f t="shared" si="3"/>
        <v>16413</v>
      </c>
      <c r="H128" s="34">
        <v>2</v>
      </c>
      <c r="I128" s="52" t="s">
        <v>481</v>
      </c>
    </row>
    <row r="129" spans="2:9">
      <c r="B129" s="52" t="s">
        <v>480</v>
      </c>
      <c r="C129" s="52">
        <v>3</v>
      </c>
      <c r="D129" s="52" t="s">
        <v>503</v>
      </c>
      <c r="G129" s="34">
        <f t="shared" si="3"/>
        <v>16415</v>
      </c>
      <c r="H129" s="34">
        <v>2</v>
      </c>
      <c r="I129" s="52" t="s">
        <v>481</v>
      </c>
    </row>
    <row r="130" spans="2:9">
      <c r="B130" s="52" t="s">
        <v>480</v>
      </c>
      <c r="C130" s="52">
        <v>3</v>
      </c>
      <c r="D130" s="52" t="s">
        <v>504</v>
      </c>
      <c r="G130" s="34">
        <f t="shared" si="3"/>
        <v>16417</v>
      </c>
      <c r="H130" s="34">
        <v>2</v>
      </c>
      <c r="I130" s="52" t="s">
        <v>481</v>
      </c>
    </row>
    <row r="131" spans="2:9">
      <c r="B131" s="52" t="s">
        <v>480</v>
      </c>
      <c r="C131" s="52">
        <v>3</v>
      </c>
      <c r="D131" s="52" t="s">
        <v>505</v>
      </c>
      <c r="G131" s="34">
        <f t="shared" si="3"/>
        <v>16419</v>
      </c>
      <c r="H131" s="34">
        <v>2</v>
      </c>
      <c r="I131" s="52" t="s">
        <v>481</v>
      </c>
    </row>
    <row r="132" spans="2:9">
      <c r="B132" s="52" t="s">
        <v>480</v>
      </c>
      <c r="C132" s="52">
        <v>3</v>
      </c>
      <c r="D132" s="52" t="s">
        <v>506</v>
      </c>
      <c r="G132" s="34">
        <f t="shared" si="3"/>
        <v>16421</v>
      </c>
      <c r="H132" s="34">
        <v>2</v>
      </c>
      <c r="I132" s="52" t="s">
        <v>481</v>
      </c>
    </row>
    <row r="133" spans="2:9">
      <c r="B133" s="52" t="s">
        <v>480</v>
      </c>
      <c r="C133" s="52">
        <v>3</v>
      </c>
      <c r="D133" s="52" t="s">
        <v>507</v>
      </c>
      <c r="G133" s="34">
        <f t="shared" si="3"/>
        <v>16423</v>
      </c>
      <c r="H133" s="34">
        <v>2</v>
      </c>
      <c r="I133" s="52" t="s">
        <v>481</v>
      </c>
    </row>
    <row r="134" spans="2:9">
      <c r="B134" s="52" t="s">
        <v>480</v>
      </c>
      <c r="C134" s="52">
        <v>3</v>
      </c>
      <c r="D134" s="52" t="s">
        <v>508</v>
      </c>
      <c r="G134" s="34">
        <f t="shared" si="3"/>
        <v>16425</v>
      </c>
      <c r="H134" s="34">
        <v>2</v>
      </c>
      <c r="I134" s="52" t="s">
        <v>481</v>
      </c>
    </row>
    <row r="135" spans="2:9">
      <c r="B135" s="52" t="s">
        <v>480</v>
      </c>
      <c r="C135" s="52">
        <v>3</v>
      </c>
      <c r="D135" s="52" t="s">
        <v>509</v>
      </c>
      <c r="G135" s="34">
        <f t="shared" si="3"/>
        <v>16427</v>
      </c>
      <c r="H135" s="34">
        <v>2</v>
      </c>
      <c r="I135" s="52" t="s">
        <v>481</v>
      </c>
    </row>
    <row r="136" spans="2:9">
      <c r="B136" s="52" t="s">
        <v>480</v>
      </c>
      <c r="C136" s="52">
        <v>3</v>
      </c>
      <c r="D136" s="52" t="s">
        <v>510</v>
      </c>
      <c r="G136" s="34">
        <f t="shared" si="3"/>
        <v>16429</v>
      </c>
      <c r="H136" s="34">
        <v>2</v>
      </c>
      <c r="I136" s="52" t="s">
        <v>481</v>
      </c>
    </row>
    <row r="137" spans="2:9">
      <c r="B137" s="52" t="s">
        <v>480</v>
      </c>
      <c r="C137" s="52">
        <v>3</v>
      </c>
      <c r="D137" s="52" t="s">
        <v>511</v>
      </c>
      <c r="G137" s="34">
        <f t="shared" si="3"/>
        <v>16431</v>
      </c>
      <c r="H137" s="34">
        <v>2</v>
      </c>
      <c r="I137" s="52" t="s">
        <v>481</v>
      </c>
    </row>
    <row r="138" spans="2:9">
      <c r="B138" s="52" t="s">
        <v>480</v>
      </c>
      <c r="C138" s="52">
        <v>3</v>
      </c>
      <c r="D138" s="52" t="s">
        <v>512</v>
      </c>
      <c r="G138" s="34">
        <f t="shared" si="3"/>
        <v>16433</v>
      </c>
      <c r="H138" s="34">
        <v>2</v>
      </c>
      <c r="I138" s="52" t="s">
        <v>481</v>
      </c>
    </row>
    <row r="139" spans="2:9">
      <c r="B139" s="52" t="s">
        <v>480</v>
      </c>
      <c r="C139" s="52">
        <v>3</v>
      </c>
      <c r="D139" s="52" t="s">
        <v>513</v>
      </c>
      <c r="G139" s="34">
        <f t="shared" si="3"/>
        <v>16435</v>
      </c>
      <c r="H139" s="34">
        <v>2</v>
      </c>
      <c r="I139" s="52" t="s">
        <v>481</v>
      </c>
    </row>
    <row r="140" spans="2:9">
      <c r="B140" s="52" t="s">
        <v>480</v>
      </c>
      <c r="C140" s="52">
        <v>3</v>
      </c>
      <c r="D140" s="52" t="s">
        <v>514</v>
      </c>
      <c r="G140" s="34">
        <f t="shared" si="3"/>
        <v>16437</v>
      </c>
      <c r="H140" s="34">
        <v>2</v>
      </c>
      <c r="I140" s="52" t="s">
        <v>481</v>
      </c>
    </row>
    <row r="141" spans="2:9">
      <c r="B141" s="52" t="s">
        <v>480</v>
      </c>
      <c r="C141" s="52">
        <v>3</v>
      </c>
      <c r="D141" s="52" t="s">
        <v>515</v>
      </c>
      <c r="G141" s="34">
        <f t="shared" si="3"/>
        <v>16439</v>
      </c>
      <c r="H141" s="34">
        <v>2</v>
      </c>
      <c r="I141" s="52" t="s">
        <v>481</v>
      </c>
    </row>
    <row r="142" spans="2:9">
      <c r="B142" s="52" t="s">
        <v>480</v>
      </c>
      <c r="C142" s="52">
        <v>3</v>
      </c>
      <c r="D142" s="52" t="s">
        <v>516</v>
      </c>
      <c r="G142" s="34">
        <f t="shared" si="3"/>
        <v>16441</v>
      </c>
      <c r="H142" s="34">
        <v>2</v>
      </c>
      <c r="I142" s="52" t="s">
        <v>481</v>
      </c>
    </row>
    <row r="143" spans="2:9">
      <c r="C143" s="52">
        <v>3</v>
      </c>
    </row>
    <row r="144" spans="2:9">
      <c r="B144" s="52" t="s">
        <v>480</v>
      </c>
      <c r="C144" s="52">
        <v>3</v>
      </c>
      <c r="D144" s="52" t="s">
        <v>517</v>
      </c>
      <c r="G144">
        <v>16450</v>
      </c>
      <c r="H144" s="34" t="s">
        <v>745</v>
      </c>
      <c r="I144" s="34" t="s">
        <v>425</v>
      </c>
    </row>
    <row r="146" spans="2:9">
      <c r="B146" t="s">
        <v>518</v>
      </c>
      <c r="C146" s="37">
        <v>3</v>
      </c>
      <c r="D146" t="s">
        <v>520</v>
      </c>
      <c r="G146">
        <v>23297</v>
      </c>
      <c r="H146" s="34">
        <v>1</v>
      </c>
      <c r="I146" s="34" t="s">
        <v>519</v>
      </c>
    </row>
    <row r="147" spans="2:9">
      <c r="B147" s="52" t="s">
        <v>518</v>
      </c>
      <c r="C147" s="52">
        <v>3</v>
      </c>
      <c r="G147">
        <f>G146+H146</f>
        <v>23298</v>
      </c>
      <c r="H147" s="34">
        <v>1</v>
      </c>
      <c r="I147" s="34" t="s">
        <v>519</v>
      </c>
    </row>
    <row r="148" spans="2:9">
      <c r="B148" s="52" t="s">
        <v>518</v>
      </c>
      <c r="C148" s="52">
        <v>3</v>
      </c>
      <c r="G148" s="52">
        <f t="shared" ref="G148:G157" si="4">G147+H147</f>
        <v>23299</v>
      </c>
      <c r="H148" s="34">
        <v>1</v>
      </c>
      <c r="I148" s="34" t="s">
        <v>519</v>
      </c>
    </row>
    <row r="149" spans="2:9">
      <c r="B149" s="52" t="s">
        <v>518</v>
      </c>
      <c r="C149" s="52">
        <v>3</v>
      </c>
      <c r="G149" s="52">
        <f t="shared" si="4"/>
        <v>23300</v>
      </c>
      <c r="H149" s="34">
        <v>2</v>
      </c>
      <c r="I149" s="34" t="s">
        <v>521</v>
      </c>
    </row>
    <row r="150" spans="2:9">
      <c r="B150" s="52" t="s">
        <v>518</v>
      </c>
      <c r="C150" s="52">
        <v>3</v>
      </c>
      <c r="G150" s="52">
        <f t="shared" si="4"/>
        <v>23302</v>
      </c>
      <c r="H150" s="34">
        <v>4</v>
      </c>
      <c r="I150" s="34" t="s">
        <v>414</v>
      </c>
    </row>
    <row r="151" spans="2:9">
      <c r="B151" s="52" t="s">
        <v>518</v>
      </c>
      <c r="C151" s="52">
        <v>3</v>
      </c>
      <c r="G151" s="52">
        <f t="shared" si="4"/>
        <v>23306</v>
      </c>
      <c r="H151" s="34">
        <v>1</v>
      </c>
      <c r="I151" s="34" t="s">
        <v>519</v>
      </c>
    </row>
    <row r="152" spans="2:9">
      <c r="B152" s="52" t="s">
        <v>518</v>
      </c>
      <c r="C152" s="52">
        <v>3</v>
      </c>
      <c r="G152" s="52">
        <f t="shared" si="4"/>
        <v>23307</v>
      </c>
      <c r="H152" s="34">
        <v>1</v>
      </c>
      <c r="I152" s="34" t="s">
        <v>519</v>
      </c>
    </row>
    <row r="153" spans="2:9">
      <c r="B153" s="52" t="s">
        <v>518</v>
      </c>
      <c r="C153" s="52">
        <v>3</v>
      </c>
      <c r="G153" s="52">
        <f t="shared" si="4"/>
        <v>23308</v>
      </c>
      <c r="H153" s="34">
        <v>1</v>
      </c>
      <c r="I153" s="34" t="s">
        <v>519</v>
      </c>
    </row>
    <row r="154" spans="2:9">
      <c r="B154" s="52" t="s">
        <v>518</v>
      </c>
      <c r="C154" s="52">
        <v>3</v>
      </c>
      <c r="G154" s="52">
        <f t="shared" si="4"/>
        <v>23309</v>
      </c>
      <c r="H154" s="34">
        <v>8</v>
      </c>
      <c r="I154" s="34" t="s">
        <v>522</v>
      </c>
    </row>
    <row r="155" spans="2:9">
      <c r="B155" s="52" t="s">
        <v>518</v>
      </c>
      <c r="C155" s="52">
        <v>3</v>
      </c>
      <c r="G155" s="52">
        <f t="shared" si="4"/>
        <v>23317</v>
      </c>
      <c r="H155" s="34">
        <v>1</v>
      </c>
      <c r="I155" s="34" t="s">
        <v>523</v>
      </c>
    </row>
    <row r="156" spans="2:9">
      <c r="B156" s="52" t="s">
        <v>518</v>
      </c>
      <c r="C156" s="52">
        <v>3</v>
      </c>
      <c r="G156">
        <v>23321</v>
      </c>
      <c r="H156" s="34">
        <v>2</v>
      </c>
      <c r="I156" s="34" t="s">
        <v>524</v>
      </c>
    </row>
    <row r="157" spans="2:9">
      <c r="B157" s="52" t="s">
        <v>518</v>
      </c>
      <c r="C157" s="52">
        <v>3</v>
      </c>
      <c r="G157" s="52">
        <f t="shared" si="4"/>
        <v>23323</v>
      </c>
      <c r="H157" s="34">
        <v>9</v>
      </c>
    </row>
    <row r="158" spans="2:9">
      <c r="B158" s="52" t="s">
        <v>518</v>
      </c>
      <c r="C158" s="52">
        <v>3</v>
      </c>
      <c r="G158" s="34">
        <v>23332</v>
      </c>
      <c r="H158" s="34" t="s">
        <v>745</v>
      </c>
      <c r="I158" s="34" t="s">
        <v>425</v>
      </c>
    </row>
    <row r="160" spans="2:9">
      <c r="B160" t="s">
        <v>438</v>
      </c>
      <c r="C160" s="37">
        <v>3</v>
      </c>
      <c r="G160">
        <v>17416</v>
      </c>
      <c r="H160" s="34">
        <v>1</v>
      </c>
    </row>
    <row r="161" spans="1:13">
      <c r="B161" s="64" t="s">
        <v>438</v>
      </c>
      <c r="D161" t="s">
        <v>680</v>
      </c>
      <c r="G161" s="64">
        <v>17416</v>
      </c>
      <c r="H161" s="34" t="s">
        <v>745</v>
      </c>
      <c r="I161" s="34" t="s">
        <v>683</v>
      </c>
    </row>
    <row r="162" spans="1:13">
      <c r="B162" s="64" t="s">
        <v>438</v>
      </c>
      <c r="D162" t="s">
        <v>681</v>
      </c>
      <c r="G162" s="64">
        <v>17416</v>
      </c>
      <c r="H162" s="34" t="s">
        <v>746</v>
      </c>
      <c r="I162" s="34" t="s">
        <v>683</v>
      </c>
    </row>
    <row r="164" spans="1:13">
      <c r="B164" t="s">
        <v>438</v>
      </c>
      <c r="C164" s="58">
        <v>3</v>
      </c>
      <c r="G164" s="58">
        <v>17429</v>
      </c>
      <c r="H164" s="34">
        <v>1</v>
      </c>
    </row>
    <row r="165" spans="1:13">
      <c r="B165" s="64" t="s">
        <v>438</v>
      </c>
      <c r="C165" s="58"/>
      <c r="D165" t="s">
        <v>682</v>
      </c>
      <c r="G165" s="64">
        <v>17429</v>
      </c>
      <c r="H165" s="34" t="s">
        <v>745</v>
      </c>
      <c r="I165" s="34" t="s">
        <v>683</v>
      </c>
    </row>
    <row r="166" spans="1:13">
      <c r="B166" s="64" t="s">
        <v>438</v>
      </c>
      <c r="C166" s="58"/>
      <c r="D166" t="s">
        <v>289</v>
      </c>
      <c r="G166" s="64">
        <v>17429</v>
      </c>
      <c r="H166" s="34" t="s">
        <v>746</v>
      </c>
      <c r="I166" s="34" t="s">
        <v>683</v>
      </c>
    </row>
    <row r="168" spans="1:13">
      <c r="B168" t="s">
        <v>438</v>
      </c>
      <c r="C168" s="58">
        <v>3</v>
      </c>
      <c r="G168">
        <v>17430</v>
      </c>
      <c r="H168" s="34">
        <v>1</v>
      </c>
    </row>
    <row r="169" spans="1:13">
      <c r="B169" s="64" t="s">
        <v>438</v>
      </c>
      <c r="C169" s="58"/>
      <c r="D169" t="s">
        <v>289</v>
      </c>
      <c r="G169" s="64">
        <v>17430</v>
      </c>
      <c r="H169" s="34" t="s">
        <v>745</v>
      </c>
      <c r="I169" s="34" t="s">
        <v>683</v>
      </c>
    </row>
    <row r="170" spans="1:13">
      <c r="B170" s="64" t="s">
        <v>438</v>
      </c>
      <c r="C170" s="58"/>
      <c r="D170" t="s">
        <v>684</v>
      </c>
      <c r="G170" s="64">
        <v>17430</v>
      </c>
      <c r="H170" s="34" t="s">
        <v>746</v>
      </c>
      <c r="I170" s="34" t="s">
        <v>683</v>
      </c>
    </row>
    <row r="172" spans="1:13">
      <c r="B172" t="s">
        <v>438</v>
      </c>
      <c r="C172" s="58">
        <v>3</v>
      </c>
      <c r="G172">
        <v>17431</v>
      </c>
      <c r="H172" s="34">
        <v>1</v>
      </c>
    </row>
    <row r="173" spans="1:13">
      <c r="B173" s="64" t="s">
        <v>438</v>
      </c>
      <c r="C173" s="58"/>
      <c r="D173" t="s">
        <v>685</v>
      </c>
      <c r="G173" s="64">
        <v>17431</v>
      </c>
      <c r="H173" s="34" t="s">
        <v>745</v>
      </c>
      <c r="I173" s="34" t="s">
        <v>683</v>
      </c>
    </row>
    <row r="174" spans="1:13">
      <c r="B174" s="64" t="s">
        <v>438</v>
      </c>
      <c r="C174" s="58"/>
      <c r="D174" s="58" t="s">
        <v>289</v>
      </c>
      <c r="G174" s="64">
        <v>17431</v>
      </c>
      <c r="H174" s="34" t="s">
        <v>746</v>
      </c>
      <c r="I174" s="34" t="s">
        <v>683</v>
      </c>
    </row>
    <row r="176" spans="1:13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</row>
    <row r="177" spans="2:9">
      <c r="B177" t="s">
        <v>898</v>
      </c>
      <c r="C177" s="37">
        <v>3</v>
      </c>
      <c r="G177" s="34">
        <v>17665</v>
      </c>
      <c r="H177" s="34">
        <v>1</v>
      </c>
    </row>
    <row r="178" spans="2:9">
      <c r="B178" s="64" t="s">
        <v>898</v>
      </c>
      <c r="D178" t="s">
        <v>686</v>
      </c>
      <c r="G178" s="34">
        <v>17665</v>
      </c>
      <c r="H178" s="34" t="s">
        <v>745</v>
      </c>
      <c r="I178" s="34" t="s">
        <v>683</v>
      </c>
    </row>
    <row r="179" spans="2:9">
      <c r="B179" s="64" t="s">
        <v>898</v>
      </c>
      <c r="D179" t="s">
        <v>687</v>
      </c>
      <c r="G179" s="34">
        <v>17665</v>
      </c>
      <c r="H179" s="34" t="s">
        <v>746</v>
      </c>
      <c r="I179" s="34" t="s">
        <v>683</v>
      </c>
    </row>
    <row r="181" spans="2:9">
      <c r="B181" t="s">
        <v>898</v>
      </c>
      <c r="C181" s="58">
        <v>3</v>
      </c>
      <c r="G181">
        <v>17666</v>
      </c>
      <c r="H181" s="34">
        <v>1</v>
      </c>
    </row>
    <row r="182" spans="2:9">
      <c r="B182" s="64" t="s">
        <v>898</v>
      </c>
      <c r="C182" s="58"/>
      <c r="D182" t="s">
        <v>289</v>
      </c>
      <c r="G182" s="64">
        <v>17666</v>
      </c>
      <c r="H182" s="34" t="s">
        <v>745</v>
      </c>
      <c r="I182" s="34" t="s">
        <v>683</v>
      </c>
    </row>
    <row r="183" spans="2:9">
      <c r="B183" s="64" t="s">
        <v>898</v>
      </c>
      <c r="C183" s="58"/>
      <c r="D183" t="s">
        <v>688</v>
      </c>
      <c r="G183" s="64">
        <v>17666</v>
      </c>
      <c r="H183" s="34" t="s">
        <v>746</v>
      </c>
      <c r="I183" t="s">
        <v>691</v>
      </c>
    </row>
    <row r="185" spans="2:9">
      <c r="C185" s="58"/>
    </row>
    <row r="186" spans="2:9">
      <c r="B186" t="s">
        <v>898</v>
      </c>
      <c r="C186" s="58">
        <v>3</v>
      </c>
      <c r="G186">
        <v>17667</v>
      </c>
      <c r="H186" s="34">
        <v>1</v>
      </c>
    </row>
    <row r="187" spans="2:9">
      <c r="B187" s="64" t="s">
        <v>898</v>
      </c>
      <c r="C187" s="58"/>
      <c r="D187" t="s">
        <v>689</v>
      </c>
      <c r="G187" s="64">
        <v>17667</v>
      </c>
      <c r="H187" s="34" t="s">
        <v>745</v>
      </c>
      <c r="I187" t="s">
        <v>691</v>
      </c>
    </row>
    <row r="188" spans="2:9">
      <c r="B188" s="64" t="s">
        <v>898</v>
      </c>
      <c r="C188" s="58"/>
      <c r="D188" t="s">
        <v>690</v>
      </c>
      <c r="G188" s="64">
        <v>17667</v>
      </c>
      <c r="H188" s="34" t="s">
        <v>746</v>
      </c>
      <c r="I188" t="s">
        <v>692</v>
      </c>
    </row>
    <row r="189" spans="2:9">
      <c r="C189" s="58"/>
    </row>
    <row r="190" spans="2:9">
      <c r="B190" t="s">
        <v>898</v>
      </c>
      <c r="C190" s="58">
        <v>3</v>
      </c>
      <c r="G190">
        <v>17668</v>
      </c>
      <c r="H190" s="34">
        <v>1</v>
      </c>
    </row>
    <row r="191" spans="2:9">
      <c r="B191" s="64" t="s">
        <v>898</v>
      </c>
      <c r="C191" s="58"/>
      <c r="D191" t="s">
        <v>693</v>
      </c>
      <c r="G191" s="64">
        <v>17668</v>
      </c>
      <c r="H191" s="34" t="s">
        <v>745</v>
      </c>
      <c r="I191" t="s">
        <v>692</v>
      </c>
    </row>
    <row r="192" spans="2:9">
      <c r="B192" s="64" t="s">
        <v>898</v>
      </c>
      <c r="C192" s="58"/>
      <c r="D192" t="s">
        <v>289</v>
      </c>
      <c r="G192" s="64">
        <v>17668</v>
      </c>
      <c r="H192" s="34" t="s">
        <v>746</v>
      </c>
      <c r="I192" s="34" t="s">
        <v>683</v>
      </c>
    </row>
    <row r="194" spans="2:9">
      <c r="B194" t="s">
        <v>898</v>
      </c>
      <c r="C194" s="58">
        <v>3</v>
      </c>
      <c r="G194">
        <v>17670</v>
      </c>
      <c r="H194" s="34">
        <v>1</v>
      </c>
    </row>
    <row r="195" spans="2:9">
      <c r="B195" s="64" t="s">
        <v>898</v>
      </c>
      <c r="C195" s="58"/>
      <c r="D195" s="58" t="s">
        <v>289</v>
      </c>
      <c r="G195" s="64">
        <v>17670</v>
      </c>
      <c r="H195" s="34" t="s">
        <v>745</v>
      </c>
      <c r="I195" s="34" t="s">
        <v>683</v>
      </c>
    </row>
    <row r="196" spans="2:9">
      <c r="B196" s="64" t="s">
        <v>898</v>
      </c>
      <c r="C196" s="58"/>
      <c r="D196" t="s">
        <v>694</v>
      </c>
      <c r="G196" s="64">
        <v>17670</v>
      </c>
      <c r="H196" s="34" t="s">
        <v>746</v>
      </c>
      <c r="I196" t="s">
        <v>695</v>
      </c>
    </row>
    <row r="198" spans="2:9">
      <c r="B198" t="s">
        <v>898</v>
      </c>
      <c r="C198" s="58">
        <v>3</v>
      </c>
      <c r="G198">
        <v>17671</v>
      </c>
      <c r="H198" s="34">
        <v>1</v>
      </c>
    </row>
    <row r="199" spans="2:9">
      <c r="B199" s="64" t="s">
        <v>898</v>
      </c>
      <c r="C199" s="58"/>
      <c r="D199" s="58" t="s">
        <v>289</v>
      </c>
      <c r="G199" s="64">
        <v>17671</v>
      </c>
      <c r="H199" s="34" t="s">
        <v>745</v>
      </c>
      <c r="I199" s="34" t="s">
        <v>683</v>
      </c>
    </row>
    <row r="200" spans="2:9">
      <c r="B200" s="64" t="s">
        <v>898</v>
      </c>
      <c r="C200" s="58"/>
      <c r="D200" t="s">
        <v>696</v>
      </c>
      <c r="H200" s="34" t="s">
        <v>746</v>
      </c>
      <c r="I200" t="s">
        <v>697</v>
      </c>
    </row>
    <row r="202" spans="2:9">
      <c r="B202" t="s">
        <v>898</v>
      </c>
      <c r="C202" s="58">
        <v>3</v>
      </c>
      <c r="G202">
        <v>17679</v>
      </c>
      <c r="H202" s="34">
        <v>1</v>
      </c>
    </row>
    <row r="203" spans="2:9">
      <c r="B203" s="64" t="s">
        <v>898</v>
      </c>
      <c r="C203" s="58"/>
      <c r="D203" s="58"/>
      <c r="G203" s="64">
        <v>17679</v>
      </c>
      <c r="H203" s="34" t="s">
        <v>745</v>
      </c>
      <c r="I203" s="34" t="s">
        <v>683</v>
      </c>
    </row>
    <row r="204" spans="2:9">
      <c r="B204" s="64" t="s">
        <v>898</v>
      </c>
      <c r="C204" s="58"/>
      <c r="D204" t="s">
        <v>698</v>
      </c>
      <c r="G204" s="64">
        <v>17679</v>
      </c>
      <c r="H204" s="34" t="s">
        <v>746</v>
      </c>
      <c r="I204" s="34" t="s">
        <v>425</v>
      </c>
    </row>
    <row r="205" spans="2:9">
      <c r="I205"/>
    </row>
    <row r="206" spans="2:9">
      <c r="B206" t="s">
        <v>898</v>
      </c>
      <c r="C206" s="58">
        <v>3</v>
      </c>
      <c r="G206">
        <v>17680</v>
      </c>
      <c r="H206" s="34">
        <v>1</v>
      </c>
    </row>
    <row r="207" spans="2:9">
      <c r="B207" s="64" t="s">
        <v>898</v>
      </c>
      <c r="C207" s="58"/>
      <c r="D207" t="s">
        <v>699</v>
      </c>
      <c r="G207" s="64">
        <v>17680</v>
      </c>
      <c r="H207" s="34" t="s">
        <v>745</v>
      </c>
      <c r="I207" s="34" t="s">
        <v>425</v>
      </c>
    </row>
    <row r="208" spans="2:9">
      <c r="B208" s="64" t="s">
        <v>898</v>
      </c>
      <c r="C208" s="58"/>
      <c r="D208" t="s">
        <v>700</v>
      </c>
      <c r="G208" s="64">
        <v>17680</v>
      </c>
      <c r="H208" s="34" t="s">
        <v>746</v>
      </c>
      <c r="I208" s="34" t="s">
        <v>425</v>
      </c>
    </row>
    <row r="209" spans="1:13">
      <c r="C209" s="58"/>
      <c r="I209" s="58"/>
    </row>
    <row r="210" spans="1:13">
      <c r="B210" t="s">
        <v>898</v>
      </c>
      <c r="C210" s="58">
        <v>3</v>
      </c>
      <c r="G210">
        <v>17681</v>
      </c>
      <c r="H210" s="34">
        <v>1</v>
      </c>
    </row>
    <row r="211" spans="1:13">
      <c r="B211" s="64" t="s">
        <v>898</v>
      </c>
      <c r="C211" s="58"/>
      <c r="D211" s="58"/>
      <c r="G211" s="64">
        <v>17681</v>
      </c>
      <c r="H211" s="34" t="s">
        <v>745</v>
      </c>
    </row>
    <row r="212" spans="1:13">
      <c r="B212" s="64" t="s">
        <v>898</v>
      </c>
      <c r="C212" s="58"/>
      <c r="D212" t="s">
        <v>701</v>
      </c>
      <c r="G212" s="64">
        <v>17681</v>
      </c>
      <c r="H212" s="34" t="s">
        <v>746</v>
      </c>
      <c r="I212" t="s">
        <v>425</v>
      </c>
    </row>
    <row r="213" spans="1:13">
      <c r="C213" s="58"/>
      <c r="I213" s="58"/>
    </row>
    <row r="214" spans="1:13">
      <c r="B214" t="s">
        <v>898</v>
      </c>
      <c r="C214" s="58">
        <v>3</v>
      </c>
      <c r="G214" s="58">
        <v>17682</v>
      </c>
      <c r="H214" s="34">
        <v>1</v>
      </c>
    </row>
    <row r="215" spans="1:13">
      <c r="B215" s="64" t="s">
        <v>898</v>
      </c>
      <c r="C215" s="58"/>
      <c r="D215" t="s">
        <v>702</v>
      </c>
      <c r="G215" s="64">
        <v>17682</v>
      </c>
      <c r="H215" s="34" t="s">
        <v>745</v>
      </c>
      <c r="I215" t="s">
        <v>425</v>
      </c>
    </row>
    <row r="216" spans="1:13">
      <c r="B216" s="64" t="s">
        <v>898</v>
      </c>
      <c r="C216" s="58"/>
      <c r="D216" t="s">
        <v>703</v>
      </c>
      <c r="G216" s="64">
        <v>17682</v>
      </c>
      <c r="H216" s="34" t="s">
        <v>746</v>
      </c>
      <c r="I216" s="58" t="s">
        <v>425</v>
      </c>
    </row>
    <row r="217" spans="1:13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</row>
    <row r="218" spans="1:13">
      <c r="B218" t="s">
        <v>899</v>
      </c>
      <c r="C218" s="58">
        <v>3</v>
      </c>
      <c r="D218" t="s">
        <v>704</v>
      </c>
      <c r="G218">
        <v>18433</v>
      </c>
      <c r="H218" s="34">
        <v>1</v>
      </c>
      <c r="I218" t="s">
        <v>705</v>
      </c>
    </row>
    <row r="219" spans="1:13">
      <c r="B219" s="64" t="s">
        <v>899</v>
      </c>
      <c r="C219" s="58">
        <v>3</v>
      </c>
      <c r="D219" t="s">
        <v>706</v>
      </c>
      <c r="G219">
        <v>18434</v>
      </c>
      <c r="H219" s="34">
        <v>1</v>
      </c>
      <c r="I219" s="63" t="s">
        <v>705</v>
      </c>
    </row>
    <row r="220" spans="1:13">
      <c r="B220" s="64" t="s">
        <v>899</v>
      </c>
      <c r="C220" s="58">
        <v>3</v>
      </c>
      <c r="D220" t="s">
        <v>707</v>
      </c>
      <c r="G220">
        <v>18435</v>
      </c>
      <c r="H220" s="34">
        <v>1</v>
      </c>
      <c r="I220" s="63" t="s">
        <v>705</v>
      </c>
    </row>
    <row r="221" spans="1:13">
      <c r="B221" s="64" t="s">
        <v>899</v>
      </c>
      <c r="C221" s="58">
        <v>3</v>
      </c>
      <c r="D221" t="s">
        <v>708</v>
      </c>
      <c r="G221">
        <v>18436</v>
      </c>
      <c r="H221" s="34">
        <v>1</v>
      </c>
      <c r="I221" s="63" t="s">
        <v>705</v>
      </c>
    </row>
    <row r="222" spans="1:13">
      <c r="B222" s="64" t="s">
        <v>899</v>
      </c>
      <c r="C222" s="58">
        <v>3</v>
      </c>
      <c r="D222" t="s">
        <v>709</v>
      </c>
      <c r="G222">
        <v>18437</v>
      </c>
      <c r="H222" s="34">
        <v>1</v>
      </c>
      <c r="I222" s="63" t="s">
        <v>705</v>
      </c>
    </row>
    <row r="223" spans="1:13">
      <c r="B223" s="64" t="s">
        <v>899</v>
      </c>
      <c r="C223" s="58">
        <v>3</v>
      </c>
      <c r="D223" t="s">
        <v>710</v>
      </c>
      <c r="G223">
        <v>18438</v>
      </c>
      <c r="H223" s="34">
        <v>1</v>
      </c>
      <c r="I223" s="63" t="s">
        <v>705</v>
      </c>
    </row>
    <row r="224" spans="1:13">
      <c r="B224" s="64" t="s">
        <v>899</v>
      </c>
      <c r="C224" s="58">
        <v>3</v>
      </c>
      <c r="D224" t="s">
        <v>711</v>
      </c>
      <c r="G224">
        <v>18439</v>
      </c>
      <c r="H224" s="34">
        <v>1</v>
      </c>
      <c r="I224" s="63" t="s">
        <v>705</v>
      </c>
    </row>
    <row r="225" spans="2:11">
      <c r="B225" s="64" t="s">
        <v>899</v>
      </c>
      <c r="C225" s="58">
        <v>3</v>
      </c>
      <c r="D225" t="s">
        <v>711</v>
      </c>
      <c r="G225">
        <v>18440</v>
      </c>
      <c r="H225" s="34">
        <v>1</v>
      </c>
      <c r="I225" s="63" t="s">
        <v>705</v>
      </c>
    </row>
    <row r="226" spans="2:11">
      <c r="B226" s="64" t="s">
        <v>899</v>
      </c>
      <c r="C226" s="58">
        <v>3</v>
      </c>
      <c r="D226" t="s">
        <v>712</v>
      </c>
      <c r="G226" s="58">
        <v>18441</v>
      </c>
      <c r="H226" s="34">
        <v>1</v>
      </c>
      <c r="I226" s="63" t="s">
        <v>705</v>
      </c>
    </row>
    <row r="227" spans="2:11">
      <c r="B227" s="64" t="s">
        <v>899</v>
      </c>
      <c r="C227" s="58">
        <v>3</v>
      </c>
      <c r="D227" t="s">
        <v>713</v>
      </c>
      <c r="G227" s="58">
        <v>18442</v>
      </c>
      <c r="H227" s="34">
        <v>1</v>
      </c>
      <c r="I227" s="63" t="s">
        <v>705</v>
      </c>
    </row>
    <row r="228" spans="2:11">
      <c r="B228" s="64" t="s">
        <v>899</v>
      </c>
      <c r="C228" s="58">
        <v>3</v>
      </c>
      <c r="D228" t="s">
        <v>714</v>
      </c>
      <c r="G228" s="58">
        <v>18443</v>
      </c>
      <c r="H228" s="34">
        <v>1</v>
      </c>
      <c r="I228" s="63" t="s">
        <v>705</v>
      </c>
    </row>
    <row r="229" spans="2:11">
      <c r="B229" s="64" t="s">
        <v>899</v>
      </c>
      <c r="C229" s="58">
        <v>3</v>
      </c>
      <c r="D229" t="s">
        <v>715</v>
      </c>
      <c r="G229" s="58">
        <v>18444</v>
      </c>
      <c r="H229" s="34">
        <v>1</v>
      </c>
      <c r="I229" s="63" t="s">
        <v>705</v>
      </c>
    </row>
    <row r="230" spans="2:11">
      <c r="B230" s="64" t="s">
        <v>899</v>
      </c>
      <c r="C230" s="58">
        <v>3</v>
      </c>
      <c r="D230" t="s">
        <v>716</v>
      </c>
      <c r="G230" s="58">
        <v>18445</v>
      </c>
      <c r="H230" s="34">
        <v>1</v>
      </c>
      <c r="I230" s="63" t="s">
        <v>705</v>
      </c>
    </row>
    <row r="231" spans="2:11">
      <c r="B231" s="64" t="s">
        <v>899</v>
      </c>
      <c r="C231" s="58">
        <v>3</v>
      </c>
      <c r="D231" t="s">
        <v>717</v>
      </c>
      <c r="G231" s="58">
        <v>18446</v>
      </c>
      <c r="H231" s="34">
        <v>1</v>
      </c>
      <c r="I231" s="63" t="s">
        <v>705</v>
      </c>
    </row>
    <row r="232" spans="2:11">
      <c r="B232" s="64" t="s">
        <v>899</v>
      </c>
      <c r="C232" s="58">
        <v>3</v>
      </c>
      <c r="D232" t="s">
        <v>900</v>
      </c>
      <c r="G232" s="58">
        <v>18447</v>
      </c>
      <c r="H232" s="34" t="s">
        <v>745</v>
      </c>
      <c r="I232" t="s">
        <v>483</v>
      </c>
      <c r="K232" s="34">
        <v>-1</v>
      </c>
    </row>
    <row r="233" spans="2:11">
      <c r="B233" s="64" t="s">
        <v>899</v>
      </c>
      <c r="C233" s="58">
        <v>3</v>
      </c>
      <c r="D233" t="s">
        <v>901</v>
      </c>
      <c r="G233" s="64">
        <v>18447</v>
      </c>
      <c r="H233" s="34" t="s">
        <v>746</v>
      </c>
      <c r="I233" s="64" t="s">
        <v>483</v>
      </c>
    </row>
    <row r="234" spans="2:11">
      <c r="B234" s="64" t="s">
        <v>899</v>
      </c>
      <c r="C234" s="64">
        <v>3</v>
      </c>
      <c r="D234" t="s">
        <v>902</v>
      </c>
      <c r="G234" s="64">
        <v>18448</v>
      </c>
      <c r="H234" s="34" t="s">
        <v>745</v>
      </c>
      <c r="I234" s="64" t="s">
        <v>483</v>
      </c>
      <c r="K234" s="34">
        <v>-1</v>
      </c>
    </row>
    <row r="235" spans="2:11">
      <c r="B235" s="64" t="s">
        <v>899</v>
      </c>
      <c r="C235" s="64">
        <v>3</v>
      </c>
      <c r="D235" t="s">
        <v>903</v>
      </c>
      <c r="G235" s="64">
        <v>18448</v>
      </c>
      <c r="H235" s="34" t="s">
        <v>746</v>
      </c>
      <c r="I235" s="64" t="s">
        <v>483</v>
      </c>
    </row>
    <row r="236" spans="2:11">
      <c r="B236" s="64" t="s">
        <v>899</v>
      </c>
      <c r="C236" s="58">
        <v>3</v>
      </c>
      <c r="D236" t="s">
        <v>718</v>
      </c>
      <c r="G236">
        <v>18449</v>
      </c>
      <c r="H236" s="34">
        <v>4</v>
      </c>
      <c r="I236" s="34" t="s">
        <v>812</v>
      </c>
    </row>
    <row r="237" spans="2:11">
      <c r="B237" s="64" t="s">
        <v>899</v>
      </c>
      <c r="C237" s="58">
        <v>3</v>
      </c>
      <c r="D237" t="s">
        <v>719</v>
      </c>
      <c r="G237" s="58">
        <f>G236+H236</f>
        <v>18453</v>
      </c>
      <c r="H237" s="34">
        <v>4</v>
      </c>
      <c r="I237" s="34" t="s">
        <v>812</v>
      </c>
    </row>
    <row r="238" spans="2:11">
      <c r="B238" s="64" t="s">
        <v>899</v>
      </c>
      <c r="C238" s="58">
        <v>3</v>
      </c>
      <c r="D238" t="s">
        <v>720</v>
      </c>
      <c r="G238" s="58">
        <f t="shared" ref="G238:G253" si="5">G237+H237</f>
        <v>18457</v>
      </c>
      <c r="H238" s="34">
        <v>4</v>
      </c>
      <c r="I238" s="34" t="s">
        <v>812</v>
      </c>
    </row>
    <row r="239" spans="2:11">
      <c r="B239" s="64" t="s">
        <v>899</v>
      </c>
      <c r="C239" s="58">
        <v>3</v>
      </c>
      <c r="D239" t="s">
        <v>721</v>
      </c>
      <c r="G239" s="58">
        <f t="shared" si="5"/>
        <v>18461</v>
      </c>
      <c r="H239" s="34">
        <v>4</v>
      </c>
      <c r="I239" s="34" t="s">
        <v>812</v>
      </c>
    </row>
    <row r="240" spans="2:11">
      <c r="B240" s="64" t="s">
        <v>899</v>
      </c>
      <c r="C240" s="58">
        <v>3</v>
      </c>
      <c r="D240" t="s">
        <v>722</v>
      </c>
      <c r="G240" s="58">
        <f t="shared" si="5"/>
        <v>18465</v>
      </c>
      <c r="H240" s="34">
        <v>4</v>
      </c>
      <c r="I240" s="34" t="s">
        <v>812</v>
      </c>
    </row>
    <row r="241" spans="1:13">
      <c r="B241" s="64" t="s">
        <v>899</v>
      </c>
      <c r="C241" s="58">
        <v>3</v>
      </c>
      <c r="D241" t="s">
        <v>723</v>
      </c>
      <c r="G241" s="58">
        <f t="shared" si="5"/>
        <v>18469</v>
      </c>
      <c r="H241" s="34">
        <v>4</v>
      </c>
      <c r="I241" s="34" t="s">
        <v>812</v>
      </c>
    </row>
    <row r="242" spans="1:13">
      <c r="B242" s="64" t="s">
        <v>899</v>
      </c>
      <c r="C242" s="58">
        <v>3</v>
      </c>
      <c r="D242" t="s">
        <v>724</v>
      </c>
      <c r="G242" s="58">
        <f t="shared" si="5"/>
        <v>18473</v>
      </c>
      <c r="H242" s="34">
        <v>4</v>
      </c>
      <c r="I242" s="34" t="s">
        <v>812</v>
      </c>
    </row>
    <row r="243" spans="1:13">
      <c r="B243" s="64" t="s">
        <v>899</v>
      </c>
      <c r="C243" s="58">
        <v>3</v>
      </c>
      <c r="D243" t="s">
        <v>724</v>
      </c>
      <c r="G243" s="58">
        <f t="shared" si="5"/>
        <v>18477</v>
      </c>
      <c r="H243" s="34">
        <v>4</v>
      </c>
      <c r="I243" s="34" t="s">
        <v>812</v>
      </c>
    </row>
    <row r="244" spans="1:13">
      <c r="B244" s="64" t="s">
        <v>899</v>
      </c>
      <c r="C244" s="58">
        <v>3</v>
      </c>
      <c r="D244" t="s">
        <v>725</v>
      </c>
      <c r="G244" s="58">
        <f t="shared" si="5"/>
        <v>18481</v>
      </c>
      <c r="H244" s="34">
        <v>4</v>
      </c>
      <c r="I244" s="34" t="s">
        <v>812</v>
      </c>
    </row>
    <row r="245" spans="1:13">
      <c r="B245" s="64" t="s">
        <v>899</v>
      </c>
      <c r="C245" s="58">
        <v>3</v>
      </c>
      <c r="D245" t="s">
        <v>726</v>
      </c>
      <c r="G245" s="58">
        <f t="shared" si="5"/>
        <v>18485</v>
      </c>
      <c r="H245" s="34">
        <v>4</v>
      </c>
      <c r="I245" s="34" t="s">
        <v>812</v>
      </c>
    </row>
    <row r="246" spans="1:13">
      <c r="B246" s="64" t="s">
        <v>899</v>
      </c>
      <c r="C246" s="58">
        <v>3</v>
      </c>
      <c r="D246" t="s">
        <v>727</v>
      </c>
      <c r="G246" s="58">
        <f t="shared" si="5"/>
        <v>18489</v>
      </c>
      <c r="H246" s="34">
        <v>4</v>
      </c>
      <c r="I246" s="34" t="s">
        <v>812</v>
      </c>
    </row>
    <row r="247" spans="1:13">
      <c r="B247" s="64" t="s">
        <v>899</v>
      </c>
      <c r="C247" s="58">
        <v>3</v>
      </c>
      <c r="D247" t="s">
        <v>728</v>
      </c>
      <c r="G247" s="58">
        <f t="shared" si="5"/>
        <v>18493</v>
      </c>
      <c r="H247" s="34">
        <v>4</v>
      </c>
      <c r="I247" s="34" t="s">
        <v>812</v>
      </c>
    </row>
    <row r="248" spans="1:13">
      <c r="B248" s="64" t="s">
        <v>899</v>
      </c>
      <c r="C248" s="58">
        <v>3</v>
      </c>
      <c r="D248" t="s">
        <v>729</v>
      </c>
      <c r="G248" s="58">
        <f t="shared" si="5"/>
        <v>18497</v>
      </c>
      <c r="H248" s="34">
        <v>4</v>
      </c>
      <c r="I248" s="34" t="s">
        <v>812</v>
      </c>
    </row>
    <row r="249" spans="1:13">
      <c r="B249" s="64" t="s">
        <v>899</v>
      </c>
      <c r="C249" s="58">
        <v>3</v>
      </c>
      <c r="D249" t="s">
        <v>730</v>
      </c>
      <c r="G249" s="58">
        <f t="shared" si="5"/>
        <v>18501</v>
      </c>
      <c r="H249" s="34">
        <v>4</v>
      </c>
      <c r="I249" s="34" t="s">
        <v>812</v>
      </c>
    </row>
    <row r="250" spans="1:13">
      <c r="B250" s="64" t="s">
        <v>899</v>
      </c>
      <c r="C250" s="58">
        <v>3</v>
      </c>
      <c r="D250" t="s">
        <v>731</v>
      </c>
      <c r="G250" s="58">
        <f t="shared" si="5"/>
        <v>18505</v>
      </c>
      <c r="H250" s="34">
        <v>4</v>
      </c>
      <c r="I250" s="34" t="s">
        <v>812</v>
      </c>
    </row>
    <row r="251" spans="1:13">
      <c r="B251" s="64" t="s">
        <v>899</v>
      </c>
      <c r="C251" s="58">
        <v>3</v>
      </c>
      <c r="D251" t="s">
        <v>732</v>
      </c>
      <c r="G251" s="58">
        <f t="shared" si="5"/>
        <v>18509</v>
      </c>
      <c r="H251" s="34">
        <v>4</v>
      </c>
      <c r="I251" s="34" t="s">
        <v>812</v>
      </c>
    </row>
    <row r="252" spans="1:13">
      <c r="B252" s="64" t="s">
        <v>899</v>
      </c>
      <c r="C252" s="58">
        <v>3</v>
      </c>
      <c r="D252" t="s">
        <v>733</v>
      </c>
      <c r="G252" s="58">
        <f t="shared" si="5"/>
        <v>18513</v>
      </c>
      <c r="H252" s="34">
        <v>4</v>
      </c>
      <c r="I252" s="34" t="s">
        <v>812</v>
      </c>
    </row>
    <row r="253" spans="1:13">
      <c r="B253" s="64" t="s">
        <v>899</v>
      </c>
      <c r="C253" s="58">
        <v>3</v>
      </c>
      <c r="D253" t="s">
        <v>734</v>
      </c>
      <c r="G253" s="58">
        <f t="shared" si="5"/>
        <v>18517</v>
      </c>
      <c r="H253" s="34">
        <v>4</v>
      </c>
      <c r="I253" s="34" t="s">
        <v>812</v>
      </c>
    </row>
    <row r="254" spans="1:13">
      <c r="G254" s="58"/>
    </row>
    <row r="255" spans="1:13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</row>
    <row r="256" spans="1:13">
      <c r="B256" s="34" t="s">
        <v>735</v>
      </c>
      <c r="C256" s="37">
        <v>3</v>
      </c>
      <c r="D256" t="s">
        <v>736</v>
      </c>
      <c r="G256">
        <v>18689</v>
      </c>
      <c r="H256" s="34">
        <v>1</v>
      </c>
      <c r="I256" t="s">
        <v>705</v>
      </c>
    </row>
    <row r="257" spans="1:13">
      <c r="G257" s="58"/>
    </row>
    <row r="258" spans="1:13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</row>
    <row r="259" spans="1:13">
      <c r="B259" t="s">
        <v>737</v>
      </c>
      <c r="C259" s="58">
        <v>3</v>
      </c>
      <c r="D259" t="s">
        <v>738</v>
      </c>
      <c r="G259">
        <v>18945</v>
      </c>
      <c r="H259" s="34">
        <v>1</v>
      </c>
      <c r="I259" t="s">
        <v>739</v>
      </c>
    </row>
    <row r="261" spans="1:13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</row>
    <row r="262" spans="1:13">
      <c r="B262" t="s">
        <v>740</v>
      </c>
      <c r="C262" s="58">
        <v>3</v>
      </c>
      <c r="D262" t="s">
        <v>741</v>
      </c>
      <c r="G262">
        <v>19457</v>
      </c>
      <c r="H262" s="34">
        <v>1</v>
      </c>
      <c r="I262" s="29" t="s">
        <v>705</v>
      </c>
    </row>
    <row r="264" spans="1:13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</row>
    <row r="265" spans="1:13">
      <c r="B265" t="s">
        <v>742</v>
      </c>
      <c r="C265" s="37">
        <v>3</v>
      </c>
      <c r="D265" t="s">
        <v>743</v>
      </c>
      <c r="G265">
        <v>19713</v>
      </c>
      <c r="H265" s="34" t="s">
        <v>745</v>
      </c>
      <c r="I265" s="29" t="s">
        <v>744</v>
      </c>
    </row>
    <row r="266" spans="1:13">
      <c r="B266" s="58" t="s">
        <v>742</v>
      </c>
      <c r="C266" s="58">
        <v>3</v>
      </c>
      <c r="D266" s="29" t="s">
        <v>747</v>
      </c>
      <c r="G266" s="58">
        <v>19713</v>
      </c>
      <c r="H266" s="34" t="s">
        <v>746</v>
      </c>
      <c r="I266" s="29" t="s">
        <v>744</v>
      </c>
    </row>
    <row r="268" spans="1:13">
      <c r="B268" s="58" t="s">
        <v>742</v>
      </c>
      <c r="C268" s="58">
        <v>3</v>
      </c>
      <c r="D268" t="s">
        <v>748</v>
      </c>
      <c r="G268">
        <v>19714</v>
      </c>
      <c r="H268" s="34" t="s">
        <v>745</v>
      </c>
      <c r="I268" s="29" t="s">
        <v>744</v>
      </c>
    </row>
    <row r="269" spans="1:13">
      <c r="B269" s="58" t="s">
        <v>742</v>
      </c>
      <c r="C269" s="58">
        <v>3</v>
      </c>
      <c r="D269" t="s">
        <v>749</v>
      </c>
      <c r="G269">
        <v>19714</v>
      </c>
      <c r="H269" s="34" t="s">
        <v>746</v>
      </c>
      <c r="I269" s="29" t="s">
        <v>744</v>
      </c>
    </row>
    <row r="270" spans="1:13">
      <c r="B270" s="58"/>
      <c r="C270" s="58"/>
      <c r="D270" s="58"/>
      <c r="G270" s="58"/>
      <c r="I270" s="29"/>
    </row>
    <row r="271" spans="1:13">
      <c r="B271" t="s">
        <v>742</v>
      </c>
      <c r="C271" s="37">
        <v>3</v>
      </c>
      <c r="D271" t="s">
        <v>750</v>
      </c>
      <c r="G271">
        <v>19738</v>
      </c>
      <c r="H271" s="34" t="s">
        <v>745</v>
      </c>
      <c r="I271" t="s">
        <v>425</v>
      </c>
    </row>
    <row r="272" spans="1:13">
      <c r="B272" t="s">
        <v>742</v>
      </c>
      <c r="C272" s="37">
        <v>3</v>
      </c>
      <c r="D272" t="s">
        <v>751</v>
      </c>
      <c r="G272">
        <v>19738</v>
      </c>
      <c r="H272" s="34" t="s">
        <v>746</v>
      </c>
      <c r="I272" t="s">
        <v>425</v>
      </c>
    </row>
    <row r="274" spans="1:13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</row>
    <row r="275" spans="1:13">
      <c r="B275" t="s">
        <v>518</v>
      </c>
      <c r="C275" s="37">
        <v>3</v>
      </c>
      <c r="D275" t="s">
        <v>520</v>
      </c>
      <c r="G275">
        <v>23297</v>
      </c>
      <c r="H275" s="34">
        <v>1</v>
      </c>
      <c r="I275" t="s">
        <v>705</v>
      </c>
    </row>
    <row r="276" spans="1:13">
      <c r="B276" s="58" t="s">
        <v>518</v>
      </c>
      <c r="C276" s="58">
        <v>3</v>
      </c>
      <c r="D276" t="s">
        <v>752</v>
      </c>
      <c r="G276">
        <v>23298</v>
      </c>
      <c r="H276" s="34">
        <v>1</v>
      </c>
      <c r="I276" s="58" t="s">
        <v>705</v>
      </c>
    </row>
    <row r="277" spans="1:13">
      <c r="B277" s="58" t="s">
        <v>518</v>
      </c>
      <c r="C277" s="37">
        <v>3</v>
      </c>
      <c r="D277" t="s">
        <v>754</v>
      </c>
      <c r="G277">
        <v>23300</v>
      </c>
      <c r="H277" s="34">
        <v>2</v>
      </c>
      <c r="I277" t="s">
        <v>753</v>
      </c>
    </row>
    <row r="279" spans="1:13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</row>
    <row r="280" spans="1:13">
      <c r="B280" t="s">
        <v>755</v>
      </c>
      <c r="C280" s="37">
        <v>3</v>
      </c>
      <c r="D280" t="s">
        <v>757</v>
      </c>
      <c r="G280">
        <v>23555</v>
      </c>
      <c r="H280" s="34">
        <v>1</v>
      </c>
      <c r="I280" s="34" t="s">
        <v>756</v>
      </c>
    </row>
    <row r="281" spans="1:13">
      <c r="B281" s="58" t="s">
        <v>755</v>
      </c>
      <c r="C281" s="37">
        <v>3</v>
      </c>
      <c r="D281" t="s">
        <v>758</v>
      </c>
      <c r="G281">
        <v>23556</v>
      </c>
      <c r="H281" s="34" t="s">
        <v>745</v>
      </c>
      <c r="I281" s="29" t="s">
        <v>760</v>
      </c>
    </row>
    <row r="282" spans="1:13">
      <c r="B282" s="58" t="s">
        <v>755</v>
      </c>
      <c r="C282" s="58">
        <v>3</v>
      </c>
      <c r="D282" t="s">
        <v>759</v>
      </c>
      <c r="G282" s="58">
        <v>23556</v>
      </c>
      <c r="H282" s="34" t="s">
        <v>746</v>
      </c>
      <c r="I282" s="29" t="s">
        <v>760</v>
      </c>
    </row>
    <row r="284" spans="1:13">
      <c r="B284" s="58" t="s">
        <v>755</v>
      </c>
      <c r="C284" s="37">
        <v>3</v>
      </c>
      <c r="D284" t="s">
        <v>761</v>
      </c>
      <c r="G284">
        <v>23557</v>
      </c>
      <c r="H284" s="34">
        <v>2</v>
      </c>
      <c r="I284" s="34" t="s">
        <v>756</v>
      </c>
    </row>
    <row r="285" spans="1:13">
      <c r="B285" s="58" t="s">
        <v>755</v>
      </c>
      <c r="C285" s="37">
        <v>3</v>
      </c>
      <c r="D285" t="s">
        <v>289</v>
      </c>
      <c r="G285">
        <v>23559</v>
      </c>
      <c r="H285" s="34" t="s">
        <v>746</v>
      </c>
      <c r="I285" t="s">
        <v>483</v>
      </c>
    </row>
    <row r="286" spans="1:13">
      <c r="B286" s="62" t="s">
        <v>755</v>
      </c>
      <c r="C286" s="37">
        <v>3</v>
      </c>
      <c r="D286" t="s">
        <v>762</v>
      </c>
      <c r="G286">
        <v>23563</v>
      </c>
      <c r="H286" s="34">
        <v>2</v>
      </c>
      <c r="I286" t="s">
        <v>763</v>
      </c>
    </row>
    <row r="288" spans="1:13">
      <c r="B288" s="58" t="s">
        <v>755</v>
      </c>
      <c r="C288" s="37">
        <v>3</v>
      </c>
      <c r="D288" t="s">
        <v>781</v>
      </c>
      <c r="G288">
        <v>23567</v>
      </c>
      <c r="H288" s="34">
        <v>1</v>
      </c>
      <c r="I288" t="s">
        <v>780</v>
      </c>
    </row>
    <row r="290" spans="1:13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</row>
    <row r="291" spans="1:13">
      <c r="B291" t="s">
        <v>794</v>
      </c>
      <c r="C291" s="37">
        <v>5</v>
      </c>
      <c r="D291" t="s">
        <v>796</v>
      </c>
      <c r="G291">
        <v>23811</v>
      </c>
      <c r="H291" s="34">
        <v>1</v>
      </c>
      <c r="I291" t="s">
        <v>795</v>
      </c>
      <c r="M291" s="34" t="s">
        <v>803</v>
      </c>
    </row>
    <row r="292" spans="1:13">
      <c r="B292" s="58" t="s">
        <v>794</v>
      </c>
      <c r="C292" s="37">
        <v>5</v>
      </c>
      <c r="D292" t="s">
        <v>799</v>
      </c>
      <c r="G292">
        <v>23813</v>
      </c>
      <c r="H292" t="s">
        <v>745</v>
      </c>
      <c r="I292" t="s">
        <v>797</v>
      </c>
      <c r="M292" s="34" t="s">
        <v>801</v>
      </c>
    </row>
    <row r="293" spans="1:13">
      <c r="B293" s="58" t="s">
        <v>794</v>
      </c>
      <c r="C293" s="37">
        <v>5</v>
      </c>
      <c r="D293" t="s">
        <v>800</v>
      </c>
      <c r="G293">
        <v>23813</v>
      </c>
      <c r="H293" t="s">
        <v>746</v>
      </c>
      <c r="I293" t="s">
        <v>798</v>
      </c>
      <c r="M293" s="34" t="s">
        <v>802</v>
      </c>
    </row>
    <row r="295" spans="1:13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</row>
    <row r="296" spans="1:13">
      <c r="B296" t="s">
        <v>804</v>
      </c>
    </row>
    <row r="297" spans="1:13">
      <c r="B297" s="58" t="s">
        <v>804</v>
      </c>
      <c r="C297" s="58">
        <v>3</v>
      </c>
      <c r="D297" t="s">
        <v>805</v>
      </c>
      <c r="G297">
        <v>24065</v>
      </c>
      <c r="H297" s="58" t="s">
        <v>745</v>
      </c>
      <c r="I297" t="s">
        <v>483</v>
      </c>
    </row>
    <row r="298" spans="1:13">
      <c r="B298" s="58" t="s">
        <v>804</v>
      </c>
      <c r="C298" s="58">
        <v>3</v>
      </c>
      <c r="D298" t="s">
        <v>289</v>
      </c>
      <c r="G298" s="58">
        <v>24065</v>
      </c>
      <c r="H298" s="58" t="s">
        <v>746</v>
      </c>
      <c r="I298" t="s">
        <v>483</v>
      </c>
    </row>
    <row r="299" spans="1:13">
      <c r="B299" s="58" t="s">
        <v>804</v>
      </c>
      <c r="C299" s="58">
        <v>3</v>
      </c>
      <c r="D299" t="s">
        <v>806</v>
      </c>
      <c r="G299">
        <v>24066</v>
      </c>
      <c r="H299" s="34">
        <v>1</v>
      </c>
      <c r="I299" t="s">
        <v>705</v>
      </c>
    </row>
    <row r="301" spans="1:13">
      <c r="B301" s="58" t="s">
        <v>804</v>
      </c>
      <c r="C301" s="58">
        <v>3</v>
      </c>
      <c r="D301" t="s">
        <v>807</v>
      </c>
      <c r="G301">
        <v>24080</v>
      </c>
      <c r="H301" s="34">
        <v>1</v>
      </c>
      <c r="I301" t="s">
        <v>705</v>
      </c>
    </row>
    <row r="303" spans="1:13">
      <c r="B303" s="58" t="s">
        <v>804</v>
      </c>
      <c r="C303" s="58">
        <v>3</v>
      </c>
      <c r="D303" t="s">
        <v>808</v>
      </c>
      <c r="G303">
        <v>24129</v>
      </c>
      <c r="H303" s="34">
        <v>2</v>
      </c>
      <c r="I303" t="s">
        <v>753</v>
      </c>
    </row>
    <row r="305" spans="1:13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</row>
    <row r="306" spans="1:13">
      <c r="B306" t="s">
        <v>809</v>
      </c>
      <c r="C306" s="37">
        <v>3</v>
      </c>
      <c r="D306" t="s">
        <v>810</v>
      </c>
      <c r="G306">
        <v>24833</v>
      </c>
      <c r="H306" s="34">
        <v>9</v>
      </c>
      <c r="I306" s="34" t="s">
        <v>756</v>
      </c>
    </row>
    <row r="309" spans="1:13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</row>
    <row r="310" spans="1:13">
      <c r="B310" t="s">
        <v>811</v>
      </c>
      <c r="C310" s="37">
        <v>3</v>
      </c>
      <c r="D310" t="s">
        <v>813</v>
      </c>
      <c r="G310">
        <v>25603</v>
      </c>
      <c r="H310" s="34">
        <v>4</v>
      </c>
      <c r="I310" t="s">
        <v>812</v>
      </c>
    </row>
    <row r="311" spans="1:13">
      <c r="B311" s="58" t="s">
        <v>811</v>
      </c>
      <c r="C311" s="37">
        <v>3</v>
      </c>
      <c r="D311" t="s">
        <v>814</v>
      </c>
      <c r="G311">
        <v>25607</v>
      </c>
      <c r="H311" s="34">
        <v>10</v>
      </c>
      <c r="I311" s="34" t="s">
        <v>815</v>
      </c>
    </row>
    <row r="312" spans="1:13">
      <c r="B312" s="58" t="s">
        <v>811</v>
      </c>
      <c r="C312" s="37">
        <v>3</v>
      </c>
      <c r="D312" t="s">
        <v>816</v>
      </c>
      <c r="G312">
        <v>25617</v>
      </c>
      <c r="H312" s="34">
        <v>12</v>
      </c>
      <c r="I312" s="34" t="s">
        <v>815</v>
      </c>
    </row>
    <row r="313" spans="1:13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</row>
    <row r="314" spans="1:13">
      <c r="B314" t="s">
        <v>817</v>
      </c>
      <c r="C314" s="58">
        <v>3</v>
      </c>
      <c r="D314" t="s">
        <v>819</v>
      </c>
      <c r="G314">
        <v>32771</v>
      </c>
      <c r="H314" s="34" t="s">
        <v>745</v>
      </c>
      <c r="I314" t="s">
        <v>818</v>
      </c>
    </row>
    <row r="315" spans="1:13">
      <c r="B315" s="58" t="s">
        <v>817</v>
      </c>
      <c r="C315" s="58">
        <v>3</v>
      </c>
      <c r="D315" t="s">
        <v>820</v>
      </c>
      <c r="G315">
        <v>32772</v>
      </c>
      <c r="H315">
        <v>1</v>
      </c>
      <c r="I315" t="s">
        <v>705</v>
      </c>
    </row>
    <row r="316" spans="1:13">
      <c r="B316" s="58" t="s">
        <v>817</v>
      </c>
      <c r="C316" s="58">
        <v>3</v>
      </c>
      <c r="D316" t="s">
        <v>821</v>
      </c>
      <c r="G316">
        <v>32773</v>
      </c>
      <c r="H316" s="34" t="s">
        <v>745</v>
      </c>
      <c r="I316" t="s">
        <v>483</v>
      </c>
    </row>
    <row r="317" spans="1:13">
      <c r="B317" s="58" t="s">
        <v>817</v>
      </c>
      <c r="C317" s="37">
        <v>3</v>
      </c>
      <c r="D317" t="s">
        <v>822</v>
      </c>
      <c r="G317">
        <v>32773</v>
      </c>
      <c r="H317" s="34" t="s">
        <v>746</v>
      </c>
      <c r="I317" s="58" t="s">
        <v>483</v>
      </c>
    </row>
    <row r="319" spans="1:13">
      <c r="B319" s="58" t="s">
        <v>817</v>
      </c>
      <c r="C319" s="37">
        <v>3</v>
      </c>
      <c r="D319" t="s">
        <v>823</v>
      </c>
      <c r="G319">
        <v>32775</v>
      </c>
      <c r="H319" s="34">
        <v>1</v>
      </c>
      <c r="I319" t="s">
        <v>705</v>
      </c>
    </row>
    <row r="321" spans="1:13">
      <c r="A321" s="35"/>
      <c r="B321" s="51" t="s">
        <v>817</v>
      </c>
      <c r="C321" s="51">
        <v>5</v>
      </c>
      <c r="D321" s="51" t="s">
        <v>819</v>
      </c>
      <c r="E321" s="35"/>
      <c r="F321" s="35"/>
      <c r="G321" s="51">
        <v>32771</v>
      </c>
      <c r="H321" s="35" t="s">
        <v>745</v>
      </c>
      <c r="I321" s="51" t="s">
        <v>818</v>
      </c>
      <c r="J321" s="35"/>
      <c r="K321" s="35"/>
      <c r="L321" s="35"/>
      <c r="M321" s="35"/>
    </row>
    <row r="322" spans="1:13">
      <c r="A322" s="35"/>
      <c r="B322" s="51" t="s">
        <v>817</v>
      </c>
      <c r="C322" s="51">
        <v>5</v>
      </c>
      <c r="D322" s="51" t="s">
        <v>820</v>
      </c>
      <c r="E322" s="35"/>
      <c r="F322" s="35"/>
      <c r="G322" s="51">
        <v>32772</v>
      </c>
      <c r="H322" s="51">
        <v>1</v>
      </c>
      <c r="I322" s="51" t="s">
        <v>705</v>
      </c>
      <c r="J322" s="35"/>
      <c r="K322" s="35"/>
      <c r="L322" s="35"/>
      <c r="M322" s="35"/>
    </row>
    <row r="323" spans="1:13">
      <c r="A323" s="35"/>
      <c r="B323" s="51" t="s">
        <v>817</v>
      </c>
      <c r="C323" s="51">
        <v>5</v>
      </c>
      <c r="D323" s="51" t="s">
        <v>821</v>
      </c>
      <c r="E323" s="35"/>
      <c r="F323" s="35"/>
      <c r="G323" s="51">
        <v>32773</v>
      </c>
      <c r="H323" s="35" t="s">
        <v>745</v>
      </c>
      <c r="I323" s="51" t="s">
        <v>483</v>
      </c>
      <c r="J323" s="35"/>
      <c r="K323" s="35"/>
      <c r="L323" s="35"/>
      <c r="M323" s="35"/>
    </row>
    <row r="324" spans="1:13">
      <c r="A324" s="35"/>
      <c r="B324" s="51" t="s">
        <v>817</v>
      </c>
      <c r="C324" s="51">
        <v>5</v>
      </c>
      <c r="D324" s="51" t="s">
        <v>822</v>
      </c>
      <c r="E324" s="35"/>
      <c r="F324" s="35"/>
      <c r="G324" s="51">
        <v>32773</v>
      </c>
      <c r="H324" s="35" t="s">
        <v>746</v>
      </c>
      <c r="I324" s="51" t="s">
        <v>483</v>
      </c>
      <c r="J324" s="35"/>
      <c r="K324" s="35"/>
      <c r="L324" s="35"/>
      <c r="M324" s="35"/>
    </row>
    <row r="325" spans="1:13">
      <c r="A325" s="35"/>
      <c r="B325" s="35"/>
      <c r="C325" s="51"/>
      <c r="D325" s="35"/>
      <c r="E325" s="35"/>
      <c r="F325" s="35"/>
      <c r="G325" s="35"/>
      <c r="H325" s="35"/>
      <c r="I325" s="35"/>
      <c r="J325" s="35"/>
      <c r="K325" s="35"/>
      <c r="L325" s="35"/>
      <c r="M325" s="35"/>
    </row>
    <row r="326" spans="1:13">
      <c r="A326" s="35"/>
      <c r="B326" s="51" t="s">
        <v>817</v>
      </c>
      <c r="C326" s="51">
        <v>5</v>
      </c>
      <c r="D326" s="51" t="s">
        <v>823</v>
      </c>
      <c r="E326" s="35"/>
      <c r="F326" s="35"/>
      <c r="G326" s="51">
        <v>32775</v>
      </c>
      <c r="H326" s="35">
        <v>1</v>
      </c>
      <c r="I326" s="51" t="s">
        <v>705</v>
      </c>
      <c r="J326" s="35"/>
      <c r="K326" s="35"/>
      <c r="L326" s="35"/>
      <c r="M326" s="35"/>
    </row>
    <row r="328" spans="1:13">
      <c r="C328" s="38"/>
    </row>
    <row r="330" spans="1:13">
      <c r="C330" s="38"/>
    </row>
    <row r="332" spans="1:13">
      <c r="A332" s="60"/>
      <c r="B332" s="60"/>
      <c r="C332" s="60"/>
      <c r="D332" s="60"/>
      <c r="E332" s="60"/>
      <c r="F332" s="60"/>
      <c r="G332" s="60"/>
      <c r="H332" s="60"/>
      <c r="I332" s="60"/>
      <c r="J332" s="60"/>
      <c r="K332" s="60"/>
      <c r="L332" s="60"/>
      <c r="M332" s="60"/>
    </row>
    <row r="333" spans="1:13">
      <c r="B333" t="s">
        <v>824</v>
      </c>
      <c r="C333" s="37">
        <v>3</v>
      </c>
      <c r="D333" t="s">
        <v>825</v>
      </c>
      <c r="G333">
        <v>33027</v>
      </c>
      <c r="H333" s="34">
        <v>1</v>
      </c>
      <c r="I333" t="s">
        <v>705</v>
      </c>
    </row>
    <row r="334" spans="1:13">
      <c r="B334" s="58" t="s">
        <v>824</v>
      </c>
      <c r="C334" s="37">
        <v>3</v>
      </c>
      <c r="D334" t="s">
        <v>826</v>
      </c>
      <c r="G334">
        <v>33028</v>
      </c>
      <c r="H334" s="34">
        <v>1</v>
      </c>
      <c r="I334" s="58" t="s">
        <v>705</v>
      </c>
    </row>
    <row r="335" spans="1:13">
      <c r="B335" s="58" t="s">
        <v>824</v>
      </c>
      <c r="C335" s="37">
        <v>3</v>
      </c>
      <c r="D335" t="s">
        <v>827</v>
      </c>
      <c r="G335">
        <v>33029</v>
      </c>
      <c r="H335" s="34">
        <v>1</v>
      </c>
      <c r="I335" s="58" t="s">
        <v>705</v>
      </c>
    </row>
    <row r="337" spans="1:13">
      <c r="B337" s="58" t="s">
        <v>824</v>
      </c>
      <c r="C337" s="58">
        <v>5</v>
      </c>
      <c r="D337" s="58" t="s">
        <v>825</v>
      </c>
      <c r="G337" s="58">
        <v>33027</v>
      </c>
      <c r="H337" s="34">
        <v>1</v>
      </c>
      <c r="I337" s="58" t="s">
        <v>705</v>
      </c>
    </row>
    <row r="338" spans="1:13">
      <c r="B338" s="58" t="s">
        <v>824</v>
      </c>
      <c r="C338" s="58">
        <v>5</v>
      </c>
      <c r="D338" s="58" t="s">
        <v>826</v>
      </c>
      <c r="G338" s="58">
        <v>33028</v>
      </c>
      <c r="H338" s="34">
        <v>1</v>
      </c>
      <c r="I338" s="58" t="s">
        <v>705</v>
      </c>
    </row>
    <row r="339" spans="1:13">
      <c r="B339" s="58" t="s">
        <v>824</v>
      </c>
      <c r="C339" s="58">
        <v>5</v>
      </c>
      <c r="D339" s="58" t="s">
        <v>827</v>
      </c>
      <c r="G339" s="58">
        <v>33029</v>
      </c>
      <c r="H339" s="34">
        <v>1</v>
      </c>
      <c r="I339" s="58" t="s">
        <v>705</v>
      </c>
    </row>
    <row r="341" spans="1:13">
      <c r="A341" s="60"/>
      <c r="B341" s="60"/>
      <c r="C341" s="60"/>
      <c r="D341" s="60"/>
      <c r="E341" s="60"/>
      <c r="F341" s="60"/>
      <c r="G341" s="60"/>
      <c r="H341" s="60"/>
      <c r="I341" s="60"/>
      <c r="J341" s="60"/>
      <c r="K341" s="60"/>
      <c r="L341" s="60"/>
      <c r="M341" s="60"/>
    </row>
    <row r="342" spans="1:13">
      <c r="B342" t="s">
        <v>828</v>
      </c>
      <c r="C342" s="37">
        <v>3</v>
      </c>
      <c r="D342" t="s">
        <v>829</v>
      </c>
      <c r="G342">
        <v>33283</v>
      </c>
      <c r="H342" s="34">
        <v>1</v>
      </c>
      <c r="I342" s="58" t="s">
        <v>705</v>
      </c>
    </row>
    <row r="343" spans="1:13">
      <c r="B343" s="58" t="s">
        <v>828</v>
      </c>
      <c r="C343" s="58">
        <v>3</v>
      </c>
      <c r="D343" t="s">
        <v>830</v>
      </c>
      <c r="G343">
        <v>33284</v>
      </c>
      <c r="H343" s="34">
        <v>1</v>
      </c>
      <c r="I343" s="58" t="s">
        <v>705</v>
      </c>
    </row>
    <row r="344" spans="1:13">
      <c r="B344" s="58" t="s">
        <v>828</v>
      </c>
      <c r="C344" s="58">
        <v>3</v>
      </c>
      <c r="D344" t="s">
        <v>831</v>
      </c>
      <c r="G344">
        <v>33285</v>
      </c>
      <c r="H344" s="34">
        <v>1</v>
      </c>
      <c r="I344" s="58" t="s">
        <v>705</v>
      </c>
    </row>
    <row r="345" spans="1:13">
      <c r="B345" s="58"/>
      <c r="C345" s="58"/>
      <c r="D345" s="58"/>
      <c r="G345" s="58"/>
      <c r="I345" s="58"/>
    </row>
    <row r="346" spans="1:13">
      <c r="B346" s="58" t="s">
        <v>828</v>
      </c>
      <c r="C346" s="58">
        <v>5</v>
      </c>
      <c r="D346" s="58" t="s">
        <v>829</v>
      </c>
      <c r="G346" s="58">
        <v>33283</v>
      </c>
      <c r="H346" s="34">
        <v>1</v>
      </c>
      <c r="I346" s="58" t="s">
        <v>705</v>
      </c>
      <c r="M346" s="34" t="s">
        <v>832</v>
      </c>
    </row>
    <row r="347" spans="1:13">
      <c r="B347" s="58" t="s">
        <v>828</v>
      </c>
      <c r="C347" s="58">
        <v>5</v>
      </c>
      <c r="D347" s="58" t="s">
        <v>830</v>
      </c>
      <c r="G347" s="58">
        <v>33284</v>
      </c>
      <c r="H347" s="34">
        <v>1</v>
      </c>
      <c r="I347" s="58" t="s">
        <v>705</v>
      </c>
      <c r="M347" s="34" t="s">
        <v>833</v>
      </c>
    </row>
    <row r="348" spans="1:13">
      <c r="B348" s="58" t="s">
        <v>828</v>
      </c>
      <c r="C348" s="58">
        <v>5</v>
      </c>
      <c r="D348" s="58" t="s">
        <v>831</v>
      </c>
      <c r="G348" s="58">
        <v>33285</v>
      </c>
      <c r="H348" s="34">
        <v>1</v>
      </c>
      <c r="I348" s="58" t="s">
        <v>705</v>
      </c>
      <c r="M348" s="34" t="s">
        <v>834</v>
      </c>
    </row>
    <row r="350" spans="1:13">
      <c r="A350" s="60"/>
      <c r="B350" s="60"/>
      <c r="C350" s="60"/>
      <c r="D350" s="60"/>
      <c r="E350" s="60"/>
      <c r="F350" s="60"/>
      <c r="G350" s="60"/>
      <c r="H350" s="60"/>
      <c r="I350" s="60"/>
      <c r="J350" s="60"/>
      <c r="K350" s="60"/>
      <c r="L350" s="60"/>
      <c r="M350" s="60"/>
    </row>
    <row r="351" spans="1:13">
      <c r="B351" t="s">
        <v>835</v>
      </c>
      <c r="C351" s="58">
        <v>3</v>
      </c>
      <c r="D351" t="s">
        <v>836</v>
      </c>
      <c r="G351">
        <v>33539</v>
      </c>
      <c r="H351" s="34" t="s">
        <v>745</v>
      </c>
      <c r="I351" s="58" t="s">
        <v>425</v>
      </c>
    </row>
    <row r="352" spans="1:13">
      <c r="B352" s="58" t="s">
        <v>835</v>
      </c>
      <c r="C352" s="58">
        <v>3</v>
      </c>
      <c r="D352" t="s">
        <v>837</v>
      </c>
      <c r="G352" s="58">
        <v>33539</v>
      </c>
      <c r="H352" s="34" t="s">
        <v>746</v>
      </c>
      <c r="I352" s="58" t="s">
        <v>425</v>
      </c>
    </row>
    <row r="353" spans="1:13">
      <c r="B353" s="58" t="s">
        <v>835</v>
      </c>
      <c r="C353" s="58">
        <v>3</v>
      </c>
      <c r="D353" t="s">
        <v>838</v>
      </c>
      <c r="G353">
        <v>33540</v>
      </c>
      <c r="H353" s="34" t="s">
        <v>745</v>
      </c>
      <c r="I353" s="58" t="s">
        <v>425</v>
      </c>
    </row>
    <row r="356" spans="1:13">
      <c r="A356" s="60"/>
      <c r="B356" s="60"/>
      <c r="C356" s="60"/>
      <c r="D356" s="60"/>
      <c r="E356" s="60"/>
      <c r="F356" s="60"/>
      <c r="G356" s="60"/>
      <c r="H356" s="60"/>
      <c r="I356" s="60"/>
      <c r="J356" s="60"/>
      <c r="K356" s="60"/>
      <c r="L356" s="60"/>
      <c r="M356" s="60"/>
    </row>
    <row r="357" spans="1:13">
      <c r="B357" t="s">
        <v>839</v>
      </c>
      <c r="C357" s="37">
        <v>3</v>
      </c>
      <c r="D357" t="s">
        <v>840</v>
      </c>
      <c r="G357">
        <v>40964</v>
      </c>
      <c r="H357" s="34" t="s">
        <v>745</v>
      </c>
      <c r="I357" s="34" t="s">
        <v>869</v>
      </c>
    </row>
    <row r="359" spans="1:13">
      <c r="B359" s="58" t="s">
        <v>839</v>
      </c>
      <c r="C359" s="37">
        <v>3</v>
      </c>
      <c r="D359" t="s">
        <v>841</v>
      </c>
      <c r="G359">
        <v>40965</v>
      </c>
      <c r="H359" s="34">
        <v>14</v>
      </c>
      <c r="I359" t="s">
        <v>842</v>
      </c>
    </row>
    <row r="361" spans="1:13">
      <c r="B361" s="58" t="s">
        <v>839</v>
      </c>
      <c r="C361" s="37">
        <v>3</v>
      </c>
      <c r="D361" t="s">
        <v>843</v>
      </c>
      <c r="G361">
        <v>40997</v>
      </c>
      <c r="H361" s="34" t="s">
        <v>745</v>
      </c>
      <c r="I361" s="34" t="s">
        <v>425</v>
      </c>
    </row>
    <row r="363" spans="1:13">
      <c r="A363" s="60"/>
      <c r="B363" s="60"/>
      <c r="C363" s="60"/>
      <c r="D363" s="60"/>
      <c r="E363" s="60"/>
      <c r="F363" s="60"/>
      <c r="G363" s="60"/>
      <c r="H363" s="60"/>
      <c r="I363" s="60"/>
      <c r="J363" s="60"/>
      <c r="K363" s="60"/>
      <c r="L363" s="60"/>
      <c r="M363" s="60"/>
    </row>
    <row r="364" spans="1:13">
      <c r="B364" t="s">
        <v>844</v>
      </c>
      <c r="C364" s="37">
        <v>3</v>
      </c>
      <c r="D364" t="s">
        <v>845</v>
      </c>
      <c r="G364">
        <v>41220</v>
      </c>
      <c r="H364" s="34">
        <v>6</v>
      </c>
      <c r="I364" t="s">
        <v>846</v>
      </c>
    </row>
    <row r="366" spans="1:13">
      <c r="B366" s="58" t="s">
        <v>844</v>
      </c>
      <c r="C366" s="58">
        <v>3</v>
      </c>
      <c r="D366" t="s">
        <v>847</v>
      </c>
      <c r="G366">
        <v>41226</v>
      </c>
      <c r="H366" s="34">
        <v>2</v>
      </c>
      <c r="I366" t="s">
        <v>753</v>
      </c>
    </row>
    <row r="369" spans="1:13">
      <c r="A369" s="60"/>
      <c r="B369" s="60"/>
      <c r="C369" s="60"/>
      <c r="D369" s="60"/>
      <c r="E369" s="60"/>
      <c r="F369" s="60"/>
      <c r="G369" s="60"/>
      <c r="H369" s="60"/>
      <c r="I369" s="60"/>
      <c r="J369" s="60"/>
      <c r="K369" s="60"/>
      <c r="L369" s="60"/>
      <c r="M369" s="60"/>
    </row>
    <row r="370" spans="1:13">
      <c r="B370" t="s">
        <v>848</v>
      </c>
      <c r="C370" s="37">
        <v>3</v>
      </c>
      <c r="D370" t="s">
        <v>849</v>
      </c>
      <c r="G370">
        <v>41475</v>
      </c>
      <c r="H370" s="34">
        <v>8</v>
      </c>
      <c r="I370" s="34" t="s">
        <v>283</v>
      </c>
    </row>
    <row r="371" spans="1:13">
      <c r="B371" s="58" t="s">
        <v>848</v>
      </c>
      <c r="C371" s="58">
        <v>3</v>
      </c>
      <c r="D371" t="s">
        <v>850</v>
      </c>
      <c r="G371">
        <v>41483</v>
      </c>
      <c r="H371" s="34">
        <v>10</v>
      </c>
      <c r="I371" t="s">
        <v>851</v>
      </c>
    </row>
    <row r="372" spans="1:13">
      <c r="B372" s="58" t="s">
        <v>848</v>
      </c>
      <c r="C372" s="37">
        <v>3</v>
      </c>
      <c r="D372" t="s">
        <v>852</v>
      </c>
      <c r="G372">
        <v>41493</v>
      </c>
      <c r="H372" s="34" t="s">
        <v>745</v>
      </c>
      <c r="I372" t="s">
        <v>853</v>
      </c>
    </row>
    <row r="374" spans="1:13">
      <c r="A374" s="60"/>
      <c r="B374" s="60"/>
      <c r="C374" s="60"/>
      <c r="D374" s="60"/>
      <c r="E374" s="60"/>
      <c r="F374" s="60"/>
      <c r="G374" s="60"/>
      <c r="H374" s="60"/>
      <c r="I374" s="60"/>
      <c r="J374" s="60"/>
      <c r="K374" s="60"/>
      <c r="L374" s="60"/>
      <c r="M374" s="60"/>
    </row>
    <row r="375" spans="1:13">
      <c r="B375" t="s">
        <v>854</v>
      </c>
      <c r="C375" s="37">
        <v>3</v>
      </c>
      <c r="D375" t="s">
        <v>855</v>
      </c>
      <c r="G375">
        <v>41731</v>
      </c>
      <c r="H375" s="34">
        <v>120</v>
      </c>
      <c r="I375" s="34" t="s">
        <v>283</v>
      </c>
    </row>
    <row r="376" spans="1:13">
      <c r="B376" s="58" t="s">
        <v>854</v>
      </c>
      <c r="C376" s="58">
        <v>3</v>
      </c>
      <c r="D376" t="s">
        <v>856</v>
      </c>
      <c r="G376">
        <v>41751</v>
      </c>
      <c r="H376" s="34" t="s">
        <v>745</v>
      </c>
      <c r="I376" s="34" t="s">
        <v>425</v>
      </c>
    </row>
    <row r="378" spans="1:13">
      <c r="A378" s="60"/>
      <c r="B378" s="60"/>
      <c r="C378" s="60"/>
      <c r="D378" s="60"/>
      <c r="E378" s="60"/>
      <c r="F378" s="60"/>
      <c r="G378" s="60"/>
      <c r="H378" s="60"/>
      <c r="I378" s="60"/>
      <c r="J378" s="60"/>
      <c r="K378" s="60"/>
      <c r="L378" s="60"/>
      <c r="M378" s="60"/>
    </row>
    <row r="379" spans="1:13">
      <c r="B379" t="s">
        <v>857</v>
      </c>
      <c r="C379" s="37">
        <v>3</v>
      </c>
      <c r="D379" t="s">
        <v>858</v>
      </c>
      <c r="G379">
        <v>42243</v>
      </c>
      <c r="H379" s="34">
        <v>32</v>
      </c>
      <c r="I379" s="34" t="s">
        <v>283</v>
      </c>
    </row>
    <row r="380" spans="1:13">
      <c r="B380" s="58" t="s">
        <v>857</v>
      </c>
      <c r="C380" s="58">
        <v>3</v>
      </c>
      <c r="D380" t="s">
        <v>859</v>
      </c>
      <c r="G380">
        <v>42275</v>
      </c>
      <c r="H380" s="34">
        <v>32</v>
      </c>
      <c r="I380" s="34" t="s">
        <v>283</v>
      </c>
    </row>
    <row r="382" spans="1:13">
      <c r="A382" s="60"/>
      <c r="B382" s="60"/>
      <c r="C382" s="60"/>
      <c r="D382" s="60"/>
      <c r="E382" s="60"/>
      <c r="F382" s="60"/>
      <c r="G382" s="60"/>
      <c r="H382" s="60"/>
      <c r="I382" s="60"/>
      <c r="J382" s="60"/>
      <c r="K382" s="60"/>
      <c r="L382" s="60"/>
      <c r="M382" s="60"/>
    </row>
    <row r="383" spans="1:13">
      <c r="B383" t="s">
        <v>860</v>
      </c>
      <c r="C383" s="58">
        <v>3</v>
      </c>
      <c r="D383" t="s">
        <v>861</v>
      </c>
      <c r="G383">
        <v>42499</v>
      </c>
      <c r="H383" s="34">
        <v>100</v>
      </c>
      <c r="I383" t="s">
        <v>862</v>
      </c>
    </row>
    <row r="385" spans="1:13">
      <c r="A385" s="60"/>
      <c r="B385" s="60"/>
      <c r="C385" s="60"/>
      <c r="D385" s="60"/>
      <c r="E385" s="60"/>
      <c r="F385" s="60"/>
      <c r="G385" s="60"/>
      <c r="H385" s="60"/>
      <c r="I385" s="60"/>
      <c r="J385" s="60"/>
      <c r="K385" s="60"/>
      <c r="L385" s="60"/>
      <c r="M385" s="60"/>
    </row>
    <row r="386" spans="1:13">
      <c r="B386" t="s">
        <v>863</v>
      </c>
      <c r="C386" s="37">
        <v>3</v>
      </c>
      <c r="D386" t="s">
        <v>864</v>
      </c>
      <c r="G386">
        <v>42755</v>
      </c>
      <c r="H386" s="34">
        <v>1</v>
      </c>
      <c r="I386" s="34" t="s">
        <v>865</v>
      </c>
    </row>
    <row r="387" spans="1:13">
      <c r="B387" s="58" t="s">
        <v>863</v>
      </c>
      <c r="C387" s="58">
        <v>3</v>
      </c>
      <c r="D387" t="s">
        <v>866</v>
      </c>
      <c r="G387">
        <v>42756</v>
      </c>
      <c r="H387" s="34">
        <v>1</v>
      </c>
      <c r="I387" t="s">
        <v>867</v>
      </c>
    </row>
    <row r="388" spans="1:13">
      <c r="B388" s="58" t="s">
        <v>863</v>
      </c>
      <c r="C388" s="58">
        <v>3</v>
      </c>
      <c r="D388" s="29" t="s">
        <v>868</v>
      </c>
      <c r="G388">
        <v>42757</v>
      </c>
      <c r="H388" s="34">
        <v>1</v>
      </c>
      <c r="I388" s="58" t="s">
        <v>867</v>
      </c>
    </row>
    <row r="676" spans="3:3">
      <c r="C676" s="41"/>
    </row>
    <row r="798" spans="3:3">
      <c r="C798" s="41"/>
    </row>
    <row r="920" spans="3:3">
      <c r="C920" s="41"/>
    </row>
    <row r="1042" spans="3:3">
      <c r="C1042" s="41"/>
    </row>
    <row r="1164" spans="3:3">
      <c r="C1164" s="41"/>
    </row>
    <row r="1184" spans="2:9">
      <c r="B1184" t="s">
        <v>780</v>
      </c>
      <c r="D1184" s="34" t="s">
        <v>871</v>
      </c>
      <c r="E1184" s="34">
        <v>0</v>
      </c>
      <c r="F1184" s="34">
        <v>16</v>
      </c>
      <c r="I1184" s="35" t="s">
        <v>393</v>
      </c>
    </row>
    <row r="1185" spans="2:13">
      <c r="B1185" s="63" t="s">
        <v>780</v>
      </c>
      <c r="C1185" s="63"/>
      <c r="E1185" s="34">
        <v>0</v>
      </c>
      <c r="F1185" s="34">
        <v>16</v>
      </c>
      <c r="I1185" s="34" t="s">
        <v>323</v>
      </c>
      <c r="L1185" s="34">
        <v>0</v>
      </c>
      <c r="M1185" s="34" t="s">
        <v>782</v>
      </c>
    </row>
    <row r="1186" spans="2:13">
      <c r="B1186" s="63" t="s">
        <v>780</v>
      </c>
      <c r="C1186" s="63"/>
      <c r="E1186" s="34">
        <v>0</v>
      </c>
      <c r="F1186" s="34">
        <v>16</v>
      </c>
      <c r="I1186" s="34" t="s">
        <v>323</v>
      </c>
      <c r="L1186" s="34">
        <v>1</v>
      </c>
      <c r="M1186" s="34" t="s">
        <v>783</v>
      </c>
    </row>
    <row r="1187" spans="2:13">
      <c r="B1187" s="63" t="s">
        <v>780</v>
      </c>
      <c r="C1187" s="63"/>
      <c r="E1187" s="34">
        <v>0</v>
      </c>
      <c r="F1187" s="34">
        <v>16</v>
      </c>
      <c r="I1187" s="34" t="s">
        <v>323</v>
      </c>
      <c r="L1187" s="34">
        <v>2</v>
      </c>
      <c r="M1187" s="34" t="s">
        <v>784</v>
      </c>
    </row>
    <row r="1188" spans="2:13">
      <c r="B1188" s="63" t="s">
        <v>780</v>
      </c>
      <c r="C1188" s="63"/>
      <c r="E1188" s="34">
        <v>0</v>
      </c>
      <c r="F1188" s="34">
        <v>16</v>
      </c>
      <c r="I1188" s="34" t="s">
        <v>323</v>
      </c>
      <c r="L1188" s="34">
        <v>4</v>
      </c>
      <c r="M1188" s="34" t="s">
        <v>785</v>
      </c>
    </row>
    <row r="1189" spans="2:13">
      <c r="B1189" s="63" t="s">
        <v>780</v>
      </c>
      <c r="C1189" s="63"/>
      <c r="E1189" s="34">
        <v>0</v>
      </c>
      <c r="F1189" s="34">
        <v>16</v>
      </c>
      <c r="I1189" s="34" t="s">
        <v>323</v>
      </c>
      <c r="L1189" s="34">
        <v>8</v>
      </c>
      <c r="M1189" s="34" t="s">
        <v>786</v>
      </c>
    </row>
    <row r="1190" spans="2:13">
      <c r="B1190" s="63" t="s">
        <v>780</v>
      </c>
      <c r="C1190" s="63"/>
      <c r="E1190" s="34">
        <v>0</v>
      </c>
      <c r="F1190" s="34">
        <v>16</v>
      </c>
      <c r="I1190" s="34" t="s">
        <v>323</v>
      </c>
      <c r="L1190" s="34">
        <v>64</v>
      </c>
      <c r="M1190" s="34" t="s">
        <v>787</v>
      </c>
    </row>
    <row r="1191" spans="2:13">
      <c r="B1191" s="63" t="s">
        <v>780</v>
      </c>
      <c r="C1191" s="63"/>
      <c r="E1191" s="34">
        <v>0</v>
      </c>
      <c r="F1191" s="34">
        <v>16</v>
      </c>
      <c r="I1191" s="34" t="s">
        <v>323</v>
      </c>
      <c r="L1191" s="34">
        <v>128</v>
      </c>
      <c r="M1191" s="34" t="s">
        <v>788</v>
      </c>
    </row>
    <row r="1192" spans="2:13">
      <c r="B1192" s="63" t="s">
        <v>780</v>
      </c>
      <c r="C1192" s="63"/>
      <c r="E1192" s="34">
        <v>0</v>
      </c>
      <c r="F1192" s="34">
        <v>16</v>
      </c>
      <c r="I1192" s="34" t="s">
        <v>323</v>
      </c>
      <c r="L1192" s="34">
        <v>256</v>
      </c>
      <c r="M1192" s="34" t="s">
        <v>789</v>
      </c>
    </row>
    <row r="1193" spans="2:13">
      <c r="B1193" s="63" t="s">
        <v>780</v>
      </c>
      <c r="C1193" s="63"/>
      <c r="E1193" s="34">
        <v>0</v>
      </c>
      <c r="F1193" s="34">
        <v>16</v>
      </c>
      <c r="I1193" s="34" t="s">
        <v>323</v>
      </c>
      <c r="L1193" s="34">
        <v>512</v>
      </c>
      <c r="M1193" s="34" t="s">
        <v>790</v>
      </c>
    </row>
    <row r="1194" spans="2:13">
      <c r="B1194" s="63" t="s">
        <v>780</v>
      </c>
      <c r="C1194" s="63"/>
      <c r="E1194" s="34">
        <v>0</v>
      </c>
      <c r="F1194" s="34">
        <v>16</v>
      </c>
      <c r="I1194" s="34" t="s">
        <v>323</v>
      </c>
      <c r="L1194" s="34">
        <v>1024</v>
      </c>
      <c r="M1194" s="34" t="s">
        <v>791</v>
      </c>
    </row>
    <row r="1195" spans="2:13">
      <c r="B1195" s="63" t="s">
        <v>780</v>
      </c>
      <c r="C1195" s="63"/>
      <c r="E1195" s="34">
        <v>0</v>
      </c>
      <c r="F1195" s="34">
        <v>16</v>
      </c>
      <c r="I1195" s="34" t="s">
        <v>323</v>
      </c>
      <c r="L1195" s="34">
        <v>2048</v>
      </c>
      <c r="M1195" s="34" t="s">
        <v>792</v>
      </c>
    </row>
    <row r="1196" spans="2:13">
      <c r="B1196" s="63" t="s">
        <v>780</v>
      </c>
      <c r="C1196" s="63"/>
      <c r="E1196" s="34">
        <v>0</v>
      </c>
      <c r="F1196" s="34">
        <v>16</v>
      </c>
      <c r="I1196" s="34" t="s">
        <v>323</v>
      </c>
      <c r="L1196" s="34">
        <v>4096</v>
      </c>
      <c r="M1196" s="34" t="s">
        <v>793</v>
      </c>
    </row>
    <row r="1207" spans="2:9">
      <c r="B1207" s="58" t="s">
        <v>905</v>
      </c>
      <c r="D1207" s="34" t="s">
        <v>906</v>
      </c>
      <c r="E1207" s="34">
        <v>0</v>
      </c>
      <c r="F1207" s="34">
        <v>8</v>
      </c>
      <c r="I1207" s="35" t="s">
        <v>393</v>
      </c>
    </row>
    <row r="1208" spans="2:9">
      <c r="B1208" t="s">
        <v>907</v>
      </c>
      <c r="D1208" s="34" t="s">
        <v>777</v>
      </c>
      <c r="E1208" s="34">
        <v>0</v>
      </c>
      <c r="F1208" s="34">
        <v>1</v>
      </c>
      <c r="I1208" s="35" t="s">
        <v>393</v>
      </c>
    </row>
    <row r="1209" spans="2:9">
      <c r="B1209" s="65" t="s">
        <v>907</v>
      </c>
      <c r="D1209" s="34" t="s">
        <v>778</v>
      </c>
      <c r="E1209" s="34">
        <v>1</v>
      </c>
      <c r="F1209" s="34">
        <v>1</v>
      </c>
      <c r="I1209" s="35" t="s">
        <v>393</v>
      </c>
    </row>
    <row r="1210" spans="2:9">
      <c r="B1210" s="65" t="s">
        <v>907</v>
      </c>
      <c r="D1210" s="34" t="s">
        <v>779</v>
      </c>
      <c r="E1210" s="34">
        <v>2</v>
      </c>
      <c r="F1210" s="34">
        <v>1</v>
      </c>
      <c r="I1210" s="35" t="s">
        <v>393</v>
      </c>
    </row>
    <row r="1215" spans="2:9">
      <c r="B1215" t="s">
        <v>763</v>
      </c>
      <c r="D1215" s="34" t="s">
        <v>908</v>
      </c>
      <c r="E1215" s="34">
        <v>0</v>
      </c>
      <c r="F1215" s="34">
        <v>1</v>
      </c>
      <c r="I1215" s="34" t="s">
        <v>393</v>
      </c>
    </row>
    <row r="1216" spans="2:9">
      <c r="B1216" s="65" t="s">
        <v>763</v>
      </c>
      <c r="D1216" s="34" t="s">
        <v>764</v>
      </c>
      <c r="E1216" s="34">
        <v>1</v>
      </c>
      <c r="F1216" s="34">
        <v>1</v>
      </c>
      <c r="I1216" s="34" t="s">
        <v>393</v>
      </c>
    </row>
    <row r="1217" spans="2:9">
      <c r="B1217" s="65" t="s">
        <v>763</v>
      </c>
      <c r="D1217" s="34" t="s">
        <v>765</v>
      </c>
      <c r="E1217" s="34">
        <v>2</v>
      </c>
      <c r="F1217" s="34">
        <v>1</v>
      </c>
      <c r="I1217" s="34" t="s">
        <v>393</v>
      </c>
    </row>
    <row r="1218" spans="2:9">
      <c r="B1218" s="65" t="s">
        <v>763</v>
      </c>
      <c r="D1218" s="34" t="s">
        <v>766</v>
      </c>
      <c r="E1218" s="34">
        <v>8</v>
      </c>
      <c r="F1218" s="34">
        <v>1</v>
      </c>
      <c r="I1218" s="34" t="s">
        <v>393</v>
      </c>
    </row>
    <row r="1219" spans="2:9">
      <c r="B1219" s="65" t="s">
        <v>763</v>
      </c>
      <c r="D1219" s="34" t="s">
        <v>767</v>
      </c>
      <c r="E1219" s="34">
        <v>10</v>
      </c>
      <c r="F1219" s="34">
        <v>1</v>
      </c>
      <c r="I1219" s="34" t="s">
        <v>393</v>
      </c>
    </row>
    <row r="1220" spans="2:9">
      <c r="B1220" s="65" t="s">
        <v>763</v>
      </c>
      <c r="D1220" s="34" t="s">
        <v>768</v>
      </c>
      <c r="E1220" s="34">
        <v>11</v>
      </c>
      <c r="F1220" s="34">
        <v>1</v>
      </c>
      <c r="I1220" s="34" t="s">
        <v>393</v>
      </c>
    </row>
    <row r="1221" spans="2:9">
      <c r="B1221" s="65" t="s">
        <v>763</v>
      </c>
      <c r="D1221" s="34" t="s">
        <v>769</v>
      </c>
      <c r="E1221" s="34">
        <v>12</v>
      </c>
      <c r="F1221" s="34">
        <v>1</v>
      </c>
      <c r="I1221" s="34" t="s">
        <v>393</v>
      </c>
    </row>
    <row r="1222" spans="2:9">
      <c r="B1222" s="65" t="s">
        <v>763</v>
      </c>
      <c r="D1222" s="34" t="s">
        <v>770</v>
      </c>
      <c r="E1222" s="34">
        <v>13</v>
      </c>
      <c r="F1222" s="34">
        <v>1</v>
      </c>
      <c r="I1222" s="34" t="s">
        <v>393</v>
      </c>
    </row>
    <row r="1223" spans="2:9">
      <c r="B1223" s="65" t="s">
        <v>763</v>
      </c>
      <c r="D1223" s="34" t="s">
        <v>771</v>
      </c>
      <c r="E1223" s="34">
        <v>14</v>
      </c>
      <c r="F1223" s="34">
        <v>1</v>
      </c>
      <c r="I1223" s="34" t="s">
        <v>393</v>
      </c>
    </row>
    <row r="1224" spans="2:9">
      <c r="B1224" s="65" t="s">
        <v>763</v>
      </c>
      <c r="D1224" s="34" t="s">
        <v>772</v>
      </c>
      <c r="E1224" s="34">
        <v>17</v>
      </c>
      <c r="F1224" s="34">
        <v>1</v>
      </c>
      <c r="I1224" s="34" t="s">
        <v>393</v>
      </c>
    </row>
    <row r="1225" spans="2:9">
      <c r="B1225" s="65" t="s">
        <v>763</v>
      </c>
      <c r="D1225" s="34" t="s">
        <v>773</v>
      </c>
      <c r="E1225" s="34">
        <v>19</v>
      </c>
      <c r="F1225" s="34">
        <v>1</v>
      </c>
      <c r="I1225" s="34" t="s">
        <v>393</v>
      </c>
    </row>
    <row r="1226" spans="2:9">
      <c r="B1226" s="65" t="s">
        <v>763</v>
      </c>
      <c r="D1226" s="34" t="s">
        <v>774</v>
      </c>
      <c r="E1226" s="34">
        <v>20</v>
      </c>
      <c r="F1226" s="34">
        <v>1</v>
      </c>
      <c r="I1226" s="34" t="s">
        <v>393</v>
      </c>
    </row>
    <row r="1227" spans="2:9">
      <c r="B1227" s="65" t="s">
        <v>763</v>
      </c>
      <c r="D1227" s="34" t="s">
        <v>775</v>
      </c>
      <c r="E1227" s="34">
        <v>21</v>
      </c>
      <c r="F1227" s="34">
        <v>1</v>
      </c>
      <c r="I1227" s="34" t="s">
        <v>393</v>
      </c>
    </row>
    <row r="1228" spans="2:9">
      <c r="B1228" s="65" t="s">
        <v>763</v>
      </c>
      <c r="D1228" s="34" t="s">
        <v>776</v>
      </c>
      <c r="E1228" s="34">
        <v>22</v>
      </c>
      <c r="F1228" s="34">
        <v>1</v>
      </c>
      <c r="I1228" s="34" t="s">
        <v>393</v>
      </c>
    </row>
    <row r="1232" spans="2:9">
      <c r="C1232" s="52"/>
      <c r="D1232" t="s">
        <v>525</v>
      </c>
      <c r="E1232" s="34">
        <v>0</v>
      </c>
      <c r="F1232" s="34">
        <v>8</v>
      </c>
      <c r="I1232" s="35"/>
    </row>
    <row r="1233" spans="2:9">
      <c r="C1233" s="52"/>
      <c r="D1233" t="s">
        <v>526</v>
      </c>
      <c r="E1233" s="34">
        <f>E1232+F1232</f>
        <v>8</v>
      </c>
      <c r="F1233" s="34">
        <v>8</v>
      </c>
      <c r="I1233" s="35"/>
    </row>
    <row r="1234" spans="2:9">
      <c r="C1234" s="52"/>
      <c r="D1234" t="s">
        <v>527</v>
      </c>
      <c r="E1234" s="34">
        <f t="shared" ref="E1234:E1243" si="6">E1233+F1233</f>
        <v>16</v>
      </c>
      <c r="F1234" s="34">
        <v>8</v>
      </c>
      <c r="I1234" s="35"/>
    </row>
    <row r="1235" spans="2:9">
      <c r="C1235" s="52"/>
      <c r="D1235" t="s">
        <v>528</v>
      </c>
      <c r="E1235" s="34">
        <f t="shared" si="6"/>
        <v>24</v>
      </c>
      <c r="F1235" s="34">
        <v>8</v>
      </c>
      <c r="I1235" s="35"/>
    </row>
    <row r="1236" spans="2:9">
      <c r="C1236" s="52"/>
      <c r="D1236" t="s">
        <v>529</v>
      </c>
      <c r="E1236" s="34">
        <f t="shared" si="6"/>
        <v>32</v>
      </c>
      <c r="F1236" s="34">
        <v>8</v>
      </c>
      <c r="I1236" s="35"/>
    </row>
    <row r="1237" spans="2:9">
      <c r="C1237" s="52"/>
      <c r="D1237" t="s">
        <v>530</v>
      </c>
      <c r="E1237" s="34">
        <f t="shared" si="6"/>
        <v>40</v>
      </c>
      <c r="F1237" s="34">
        <v>8</v>
      </c>
      <c r="I1237" s="35"/>
    </row>
    <row r="1238" spans="2:9">
      <c r="C1238" s="52"/>
      <c r="D1238" t="s">
        <v>531</v>
      </c>
      <c r="E1238" s="34">
        <f t="shared" si="6"/>
        <v>48</v>
      </c>
      <c r="F1238" s="34">
        <v>8</v>
      </c>
      <c r="I1238" s="35"/>
    </row>
    <row r="1239" spans="2:9">
      <c r="C1239" s="52"/>
      <c r="D1239" t="s">
        <v>532</v>
      </c>
      <c r="E1239" s="34">
        <f t="shared" si="6"/>
        <v>56</v>
      </c>
      <c r="F1239" s="34">
        <v>8</v>
      </c>
      <c r="I1239" s="35"/>
    </row>
    <row r="1240" spans="2:9">
      <c r="C1240" s="52"/>
      <c r="D1240" t="s">
        <v>533</v>
      </c>
      <c r="E1240" s="34">
        <f t="shared" si="6"/>
        <v>64</v>
      </c>
      <c r="F1240" s="34">
        <v>8</v>
      </c>
      <c r="I1240" s="35"/>
    </row>
    <row r="1241" spans="2:9">
      <c r="C1241" s="52"/>
      <c r="D1241" t="s">
        <v>534</v>
      </c>
      <c r="E1241" s="34">
        <f t="shared" si="6"/>
        <v>72</v>
      </c>
      <c r="F1241" s="34">
        <v>8</v>
      </c>
      <c r="I1241" s="35"/>
    </row>
    <row r="1242" spans="2:9">
      <c r="D1242" t="s">
        <v>289</v>
      </c>
      <c r="E1242" s="34">
        <f t="shared" si="6"/>
        <v>80</v>
      </c>
      <c r="F1242" s="34">
        <v>24</v>
      </c>
      <c r="I1242" s="35"/>
    </row>
    <row r="1243" spans="2:9">
      <c r="D1243" t="s">
        <v>535</v>
      </c>
      <c r="E1243" s="34">
        <f t="shared" si="6"/>
        <v>104</v>
      </c>
      <c r="F1243" s="34">
        <v>8</v>
      </c>
      <c r="I1243" s="35"/>
    </row>
    <row r="1245" spans="2:9">
      <c r="B1245" s="34" t="s">
        <v>481</v>
      </c>
      <c r="D1245" t="s">
        <v>487</v>
      </c>
      <c r="E1245" s="34">
        <v>0</v>
      </c>
      <c r="F1245" s="34">
        <v>8</v>
      </c>
      <c r="I1245" s="34" t="s">
        <v>482</v>
      </c>
    </row>
    <row r="1246" spans="2:9">
      <c r="B1246" s="34" t="s">
        <v>481</v>
      </c>
      <c r="D1246" t="s">
        <v>484</v>
      </c>
      <c r="E1246" s="34">
        <f>E1245+F1245</f>
        <v>8</v>
      </c>
      <c r="F1246" s="34">
        <v>8</v>
      </c>
      <c r="I1246" t="s">
        <v>483</v>
      </c>
    </row>
    <row r="1247" spans="2:9">
      <c r="B1247" s="34" t="s">
        <v>481</v>
      </c>
      <c r="D1247" t="s">
        <v>485</v>
      </c>
      <c r="E1247" s="34">
        <f t="shared" ref="E1247:E1248" si="7">E1246+F1246</f>
        <v>16</v>
      </c>
      <c r="F1247" s="34">
        <v>8</v>
      </c>
      <c r="I1247" s="34" t="s">
        <v>482</v>
      </c>
    </row>
    <row r="1248" spans="2:9">
      <c r="B1248" s="34" t="s">
        <v>481</v>
      </c>
      <c r="D1248" t="s">
        <v>486</v>
      </c>
      <c r="E1248" s="34">
        <f t="shared" si="7"/>
        <v>24</v>
      </c>
      <c r="F1248" s="34">
        <v>8</v>
      </c>
      <c r="I1248" s="52" t="s">
        <v>483</v>
      </c>
    </row>
    <row r="1250" spans="2:13">
      <c r="B1250" s="34" t="s">
        <v>538</v>
      </c>
      <c r="E1250" s="34">
        <v>0</v>
      </c>
      <c r="F1250" s="34">
        <v>8</v>
      </c>
      <c r="I1250" s="35" t="s">
        <v>393</v>
      </c>
    </row>
    <row r="1251" spans="2:13">
      <c r="B1251" s="34" t="s">
        <v>538</v>
      </c>
      <c r="C1251" s="54"/>
      <c r="D1251" s="54"/>
      <c r="E1251" s="54">
        <v>0</v>
      </c>
      <c r="F1251" s="54">
        <v>8</v>
      </c>
      <c r="G1251" s="54"/>
      <c r="H1251" s="54"/>
      <c r="I1251" s="54" t="s">
        <v>323</v>
      </c>
      <c r="J1251" s="54"/>
      <c r="K1251" s="54"/>
      <c r="L1251" s="54">
        <v>0</v>
      </c>
      <c r="M1251" s="54" t="s">
        <v>422</v>
      </c>
    </row>
    <row r="1252" spans="2:13">
      <c r="B1252" s="34" t="s">
        <v>538</v>
      </c>
      <c r="C1252" s="54"/>
      <c r="D1252" s="54"/>
      <c r="E1252" s="54">
        <v>0</v>
      </c>
      <c r="F1252" s="54">
        <v>8</v>
      </c>
      <c r="G1252" s="54"/>
      <c r="H1252" s="54"/>
      <c r="I1252" s="54" t="s">
        <v>323</v>
      </c>
      <c r="J1252" s="54"/>
      <c r="K1252" s="54"/>
      <c r="L1252" s="54">
        <v>1</v>
      </c>
      <c r="M1252" s="54" t="s">
        <v>423</v>
      </c>
    </row>
    <row r="1254" spans="2:13">
      <c r="B1254" s="34" t="s">
        <v>537</v>
      </c>
      <c r="D1254" s="34" t="s">
        <v>408</v>
      </c>
      <c r="E1254" s="34">
        <v>0</v>
      </c>
      <c r="F1254" s="34">
        <v>1</v>
      </c>
      <c r="I1254" s="35" t="s">
        <v>393</v>
      </c>
    </row>
    <row r="1255" spans="2:13">
      <c r="B1255" s="34" t="s">
        <v>537</v>
      </c>
      <c r="D1255" s="34" t="s">
        <v>409</v>
      </c>
      <c r="E1255" s="34">
        <v>1</v>
      </c>
      <c r="F1255" s="34">
        <v>1</v>
      </c>
      <c r="I1255" s="35" t="s">
        <v>393</v>
      </c>
    </row>
    <row r="1256" spans="2:13">
      <c r="B1256" s="34" t="s">
        <v>537</v>
      </c>
      <c r="D1256" s="34" t="s">
        <v>410</v>
      </c>
      <c r="E1256" s="34">
        <v>2</v>
      </c>
      <c r="F1256" s="34">
        <v>1</v>
      </c>
      <c r="I1256" s="35" t="s">
        <v>393</v>
      </c>
    </row>
    <row r="1257" spans="2:13">
      <c r="B1257" s="34" t="s">
        <v>537</v>
      </c>
      <c r="D1257" s="34" t="s">
        <v>411</v>
      </c>
      <c r="E1257" s="34">
        <v>3</v>
      </c>
      <c r="F1257" s="34">
        <v>1</v>
      </c>
      <c r="I1257" s="35" t="s">
        <v>393</v>
      </c>
    </row>
    <row r="1258" spans="2:13">
      <c r="B1258" s="34" t="s">
        <v>537</v>
      </c>
      <c r="D1258" s="34" t="s">
        <v>412</v>
      </c>
      <c r="E1258" s="34">
        <v>4</v>
      </c>
      <c r="F1258" s="34">
        <v>1</v>
      </c>
      <c r="I1258" s="35" t="s">
        <v>393</v>
      </c>
    </row>
    <row r="1260" spans="2:13">
      <c r="B1260" s="34" t="s">
        <v>536</v>
      </c>
      <c r="D1260" s="34" t="s">
        <v>405</v>
      </c>
      <c r="E1260" s="34">
        <v>8</v>
      </c>
      <c r="F1260" s="34">
        <v>1</v>
      </c>
      <c r="I1260" s="35" t="s">
        <v>393</v>
      </c>
    </row>
    <row r="1261" spans="2:13">
      <c r="B1261" s="34" t="s">
        <v>536</v>
      </c>
      <c r="D1261" s="34" t="s">
        <v>386</v>
      </c>
      <c r="E1261" s="34">
        <v>9</v>
      </c>
      <c r="F1261" s="34">
        <v>1</v>
      </c>
      <c r="I1261" s="35" t="s">
        <v>393</v>
      </c>
    </row>
    <row r="1262" spans="2:13">
      <c r="B1262" s="34" t="s">
        <v>536</v>
      </c>
      <c r="D1262" s="34" t="s">
        <v>387</v>
      </c>
      <c r="E1262" s="34">
        <v>10</v>
      </c>
      <c r="F1262" s="34">
        <v>1</v>
      </c>
      <c r="I1262" s="35" t="s">
        <v>393</v>
      </c>
    </row>
    <row r="1263" spans="2:13">
      <c r="B1263" s="34" t="s">
        <v>536</v>
      </c>
      <c r="D1263" s="34" t="s">
        <v>388</v>
      </c>
      <c r="E1263" s="34">
        <v>11</v>
      </c>
      <c r="F1263" s="34">
        <v>1</v>
      </c>
      <c r="I1263" s="35" t="s">
        <v>393</v>
      </c>
    </row>
    <row r="1264" spans="2:13">
      <c r="B1264" s="34" t="s">
        <v>536</v>
      </c>
      <c r="D1264" s="34" t="s">
        <v>406</v>
      </c>
      <c r="E1264" s="34">
        <v>12</v>
      </c>
      <c r="F1264" s="34">
        <v>1</v>
      </c>
      <c r="I1264" s="35" t="s">
        <v>393</v>
      </c>
    </row>
    <row r="1265" spans="2:13">
      <c r="B1265" s="34" t="s">
        <v>536</v>
      </c>
      <c r="C1265" s="52"/>
      <c r="D1265" s="34" t="s">
        <v>407</v>
      </c>
      <c r="E1265" s="34">
        <v>13</v>
      </c>
      <c r="F1265" s="34">
        <v>1</v>
      </c>
      <c r="I1265" s="35" t="s">
        <v>393</v>
      </c>
    </row>
    <row r="1266" spans="2:13">
      <c r="B1266" s="34" t="s">
        <v>536</v>
      </c>
      <c r="C1266" s="52"/>
      <c r="D1266" s="34" t="s">
        <v>391</v>
      </c>
      <c r="E1266" s="34">
        <v>14</v>
      </c>
      <c r="F1266" s="34">
        <v>1</v>
      </c>
      <c r="I1266" s="35" t="s">
        <v>393</v>
      </c>
    </row>
    <row r="1267" spans="2:13">
      <c r="B1267" s="34" t="s">
        <v>536</v>
      </c>
      <c r="C1267" s="52"/>
      <c r="D1267" s="34" t="s">
        <v>392</v>
      </c>
      <c r="E1267" s="34">
        <v>15</v>
      </c>
      <c r="F1267" s="34">
        <v>1</v>
      </c>
      <c r="I1267" s="35" t="s">
        <v>393</v>
      </c>
    </row>
    <row r="1269" spans="2:13">
      <c r="B1269" t="s">
        <v>872</v>
      </c>
      <c r="C1269" s="51"/>
      <c r="D1269" s="51" t="s">
        <v>328</v>
      </c>
      <c r="E1269" s="35">
        <v>0</v>
      </c>
      <c r="F1269" s="35">
        <v>8</v>
      </c>
      <c r="G1269" s="35"/>
      <c r="H1269" s="35"/>
      <c r="I1269" s="35" t="s">
        <v>393</v>
      </c>
      <c r="J1269" s="35"/>
      <c r="K1269" s="35"/>
      <c r="L1269" s="35"/>
      <c r="M1269" s="35"/>
    </row>
    <row r="1270" spans="2:13">
      <c r="B1270" s="64" t="s">
        <v>872</v>
      </c>
      <c r="C1270" s="51"/>
      <c r="D1270" s="51" t="s">
        <v>329</v>
      </c>
      <c r="E1270" s="35">
        <v>8</v>
      </c>
      <c r="F1270" s="35">
        <v>8</v>
      </c>
      <c r="G1270" s="35"/>
      <c r="H1270" s="35"/>
      <c r="I1270" s="35" t="s">
        <v>393</v>
      </c>
      <c r="J1270" s="35"/>
      <c r="K1270" s="35"/>
      <c r="L1270" s="35"/>
      <c r="M1270" s="35"/>
    </row>
    <row r="1271" spans="2:13">
      <c r="B1271" s="64" t="s">
        <v>872</v>
      </c>
      <c r="C1271" s="51"/>
      <c r="D1271" s="51" t="s">
        <v>330</v>
      </c>
      <c r="E1271" s="35">
        <f t="shared" ref="E1271:E1277" si="8">E1270+F1270</f>
        <v>16</v>
      </c>
      <c r="F1271" s="35">
        <v>8</v>
      </c>
      <c r="G1271" s="35"/>
      <c r="H1271" s="35"/>
      <c r="I1271" s="35" t="s">
        <v>393</v>
      </c>
      <c r="J1271" s="35"/>
      <c r="K1271" s="35"/>
      <c r="L1271" s="35"/>
      <c r="M1271" s="35"/>
    </row>
    <row r="1272" spans="2:13">
      <c r="B1272" s="64" t="s">
        <v>872</v>
      </c>
      <c r="C1272" s="51"/>
      <c r="D1272" s="51" t="s">
        <v>331</v>
      </c>
      <c r="E1272" s="35">
        <f t="shared" si="8"/>
        <v>24</v>
      </c>
      <c r="F1272" s="35">
        <v>8</v>
      </c>
      <c r="G1272" s="35"/>
      <c r="H1272" s="35"/>
      <c r="I1272" s="35" t="s">
        <v>393</v>
      </c>
      <c r="J1272" s="35"/>
      <c r="K1272" s="35"/>
      <c r="L1272" s="35"/>
      <c r="M1272" s="35"/>
    </row>
    <row r="1273" spans="2:13">
      <c r="B1273" s="64" t="s">
        <v>872</v>
      </c>
      <c r="C1273" s="51"/>
      <c r="D1273" s="51" t="s">
        <v>332</v>
      </c>
      <c r="E1273" s="35">
        <f t="shared" si="8"/>
        <v>32</v>
      </c>
      <c r="F1273" s="35">
        <v>8</v>
      </c>
      <c r="G1273" s="35"/>
      <c r="H1273" s="35"/>
      <c r="I1273" s="35" t="s">
        <v>393</v>
      </c>
      <c r="J1273" s="35"/>
      <c r="K1273" s="35"/>
      <c r="L1273" s="35"/>
      <c r="M1273" s="35"/>
    </row>
    <row r="1274" spans="2:13">
      <c r="B1274" s="64" t="s">
        <v>872</v>
      </c>
      <c r="C1274" s="51"/>
      <c r="D1274" s="51" t="s">
        <v>333</v>
      </c>
      <c r="E1274" s="35">
        <f t="shared" si="8"/>
        <v>40</v>
      </c>
      <c r="F1274" s="35">
        <v>8</v>
      </c>
      <c r="G1274" s="35"/>
      <c r="H1274" s="35"/>
      <c r="I1274" s="35" t="s">
        <v>393</v>
      </c>
      <c r="J1274" s="35"/>
      <c r="K1274" s="35"/>
      <c r="L1274" s="35"/>
      <c r="M1274" s="35"/>
    </row>
    <row r="1275" spans="2:13">
      <c r="B1275" s="64" t="s">
        <v>872</v>
      </c>
      <c r="C1275" s="51"/>
      <c r="D1275" s="51" t="s">
        <v>334</v>
      </c>
      <c r="E1275" s="35">
        <f t="shared" si="8"/>
        <v>48</v>
      </c>
      <c r="F1275" s="35">
        <v>8</v>
      </c>
      <c r="G1275" s="35"/>
      <c r="H1275" s="35"/>
      <c r="I1275" s="35" t="s">
        <v>393</v>
      </c>
      <c r="J1275" s="35"/>
      <c r="K1275" s="35"/>
      <c r="L1275" s="35"/>
      <c r="M1275" s="35"/>
    </row>
    <row r="1276" spans="2:13">
      <c r="B1276" s="64" t="s">
        <v>872</v>
      </c>
      <c r="C1276" s="51"/>
      <c r="D1276" s="51" t="s">
        <v>335</v>
      </c>
      <c r="E1276" s="35">
        <f t="shared" si="8"/>
        <v>56</v>
      </c>
      <c r="F1276" s="35">
        <v>4</v>
      </c>
      <c r="G1276" s="35"/>
      <c r="H1276" s="35"/>
      <c r="I1276" s="35" t="s">
        <v>393</v>
      </c>
      <c r="J1276" s="35"/>
      <c r="K1276" s="35"/>
      <c r="L1276" s="35"/>
      <c r="M1276" s="35"/>
    </row>
    <row r="1277" spans="2:13">
      <c r="B1277" s="64" t="s">
        <v>872</v>
      </c>
      <c r="C1277" s="51"/>
      <c r="D1277" s="51" t="s">
        <v>336</v>
      </c>
      <c r="E1277" s="35">
        <f t="shared" si="8"/>
        <v>60</v>
      </c>
      <c r="F1277" s="35">
        <v>4</v>
      </c>
      <c r="G1277" s="35"/>
      <c r="H1277" s="35"/>
      <c r="I1277" s="35" t="s">
        <v>393</v>
      </c>
      <c r="J1277" s="35"/>
      <c r="K1277" s="35"/>
      <c r="L1277" s="35"/>
      <c r="M1277" s="35"/>
    </row>
    <row r="1278" spans="2:13">
      <c r="B1278" s="64" t="s">
        <v>872</v>
      </c>
      <c r="C1278" s="51"/>
      <c r="D1278" s="35" t="s">
        <v>303</v>
      </c>
      <c r="E1278" s="35">
        <v>64</v>
      </c>
      <c r="F1278" s="35">
        <v>8</v>
      </c>
      <c r="G1278" s="35"/>
      <c r="H1278" s="35"/>
      <c r="I1278" s="35"/>
      <c r="J1278" s="35"/>
      <c r="K1278" s="35"/>
      <c r="L1278" s="35"/>
      <c r="M1278" s="35"/>
    </row>
    <row r="1279" spans="2:13">
      <c r="B1279" s="64" t="s">
        <v>872</v>
      </c>
      <c r="C1279" s="51"/>
      <c r="D1279" s="50" t="s">
        <v>324</v>
      </c>
      <c r="E1279" s="35">
        <v>72</v>
      </c>
      <c r="F1279" s="35">
        <v>8</v>
      </c>
      <c r="G1279" s="35"/>
      <c r="H1279" s="35"/>
      <c r="I1279" s="35" t="s">
        <v>393</v>
      </c>
      <c r="J1279" s="35"/>
      <c r="K1279" s="35"/>
      <c r="L1279" s="35"/>
      <c r="M1279" s="35"/>
    </row>
    <row r="1280" spans="2:13">
      <c r="B1280" s="64" t="s">
        <v>872</v>
      </c>
      <c r="C1280" s="51"/>
      <c r="D1280" s="35"/>
      <c r="E1280" s="35">
        <v>72</v>
      </c>
      <c r="F1280" s="35">
        <v>8</v>
      </c>
      <c r="G1280" s="35"/>
      <c r="H1280" s="35"/>
      <c r="I1280" s="35" t="s">
        <v>323</v>
      </c>
      <c r="J1280" s="35"/>
      <c r="K1280" s="35"/>
      <c r="L1280" s="35">
        <v>1</v>
      </c>
      <c r="M1280" s="51" t="s">
        <v>343</v>
      </c>
    </row>
    <row r="1281" spans="2:13">
      <c r="B1281" s="64" t="s">
        <v>872</v>
      </c>
      <c r="C1281" s="51"/>
      <c r="D1281" s="35"/>
      <c r="E1281" s="35">
        <v>72</v>
      </c>
      <c r="F1281" s="35">
        <v>8</v>
      </c>
      <c r="G1281" s="35"/>
      <c r="H1281" s="35"/>
      <c r="I1281" s="35" t="s">
        <v>323</v>
      </c>
      <c r="J1281" s="35"/>
      <c r="K1281" s="35"/>
      <c r="L1281" s="35">
        <v>2</v>
      </c>
      <c r="M1281" s="51" t="s">
        <v>343</v>
      </c>
    </row>
    <row r="1282" spans="2:13">
      <c r="B1282" s="64" t="s">
        <v>872</v>
      </c>
      <c r="C1282" s="51"/>
      <c r="D1282" s="35"/>
      <c r="E1282" s="35">
        <v>72</v>
      </c>
      <c r="F1282" s="35">
        <v>8</v>
      </c>
      <c r="G1282" s="35"/>
      <c r="H1282" s="35"/>
      <c r="I1282" s="35" t="s">
        <v>323</v>
      </c>
      <c r="J1282" s="35"/>
      <c r="K1282" s="35"/>
      <c r="L1282" s="35">
        <v>3</v>
      </c>
      <c r="M1282" s="35" t="s">
        <v>344</v>
      </c>
    </row>
    <row r="1283" spans="2:13">
      <c r="B1283" s="64" t="s">
        <v>872</v>
      </c>
      <c r="C1283" s="51"/>
      <c r="D1283" s="35"/>
      <c r="E1283" s="35">
        <v>72</v>
      </c>
      <c r="F1283" s="35">
        <v>8</v>
      </c>
      <c r="G1283" s="35"/>
      <c r="H1283" s="35"/>
      <c r="I1283" s="35" t="s">
        <v>323</v>
      </c>
      <c r="J1283" s="35"/>
      <c r="K1283" s="35"/>
      <c r="L1283" s="35">
        <v>4</v>
      </c>
      <c r="M1283" s="35" t="s">
        <v>344</v>
      </c>
    </row>
    <row r="1284" spans="2:13">
      <c r="B1284" s="64" t="s">
        <v>872</v>
      </c>
      <c r="C1284" s="51"/>
      <c r="D1284" s="35"/>
      <c r="E1284" s="35">
        <v>72</v>
      </c>
      <c r="F1284" s="35">
        <v>8</v>
      </c>
      <c r="G1284" s="35"/>
      <c r="H1284" s="35"/>
      <c r="I1284" s="35" t="s">
        <v>323</v>
      </c>
      <c r="J1284" s="35"/>
      <c r="K1284" s="35"/>
      <c r="L1284" s="35">
        <v>5</v>
      </c>
      <c r="M1284" s="35" t="s">
        <v>345</v>
      </c>
    </row>
    <row r="1285" spans="2:13">
      <c r="B1285" s="64" t="s">
        <v>872</v>
      </c>
      <c r="C1285" s="51"/>
      <c r="D1285" s="35"/>
      <c r="E1285" s="35">
        <v>72</v>
      </c>
      <c r="F1285" s="35">
        <v>8</v>
      </c>
      <c r="G1285" s="35"/>
      <c r="H1285" s="35"/>
      <c r="I1285" s="35" t="s">
        <v>323</v>
      </c>
      <c r="J1285" s="35"/>
      <c r="K1285" s="35"/>
      <c r="L1285" s="35">
        <v>6</v>
      </c>
      <c r="M1285" s="35" t="s">
        <v>345</v>
      </c>
    </row>
    <row r="1286" spans="2:13">
      <c r="B1286" s="64" t="s">
        <v>872</v>
      </c>
      <c r="C1286" s="51"/>
      <c r="D1286" s="35"/>
      <c r="E1286" s="35">
        <v>72</v>
      </c>
      <c r="F1286" s="35">
        <v>8</v>
      </c>
      <c r="G1286" s="35"/>
      <c r="H1286" s="35"/>
      <c r="I1286" s="35" t="s">
        <v>323</v>
      </c>
      <c r="J1286" s="35"/>
      <c r="K1286" s="35"/>
      <c r="L1286" s="35">
        <v>7</v>
      </c>
      <c r="M1286" s="35" t="s">
        <v>346</v>
      </c>
    </row>
    <row r="1287" spans="2:13">
      <c r="B1287" s="64" t="s">
        <v>872</v>
      </c>
      <c r="C1287" s="51"/>
      <c r="D1287" s="35"/>
      <c r="E1287" s="35">
        <v>72</v>
      </c>
      <c r="F1287" s="35">
        <v>8</v>
      </c>
      <c r="G1287" s="35"/>
      <c r="H1287" s="35"/>
      <c r="I1287" s="35" t="s">
        <v>323</v>
      </c>
      <c r="J1287" s="35"/>
      <c r="K1287" s="35"/>
      <c r="L1287" s="35">
        <v>8</v>
      </c>
      <c r="M1287" s="35" t="s">
        <v>346</v>
      </c>
    </row>
    <row r="1288" spans="2:13">
      <c r="B1288" s="64" t="s">
        <v>872</v>
      </c>
      <c r="C1288" s="51"/>
      <c r="D1288" s="35"/>
      <c r="E1288" s="35">
        <v>72</v>
      </c>
      <c r="F1288" s="35">
        <v>8</v>
      </c>
      <c r="G1288" s="35"/>
      <c r="H1288" s="35"/>
      <c r="I1288" s="35" t="s">
        <v>323</v>
      </c>
      <c r="J1288" s="35"/>
      <c r="K1288" s="35"/>
      <c r="L1288" s="35">
        <v>9</v>
      </c>
      <c r="M1288" s="35" t="s">
        <v>347</v>
      </c>
    </row>
    <row r="1289" spans="2:13">
      <c r="B1289" s="64" t="s">
        <v>872</v>
      </c>
      <c r="C1289" s="51"/>
      <c r="D1289" s="35"/>
      <c r="E1289" s="35">
        <v>72</v>
      </c>
      <c r="F1289" s="35">
        <v>8</v>
      </c>
      <c r="G1289" s="35"/>
      <c r="H1289" s="35"/>
      <c r="I1289" s="35" t="s">
        <v>323</v>
      </c>
      <c r="J1289" s="35"/>
      <c r="K1289" s="35"/>
      <c r="L1289" s="35">
        <v>10</v>
      </c>
      <c r="M1289" s="35" t="s">
        <v>347</v>
      </c>
    </row>
    <row r="1290" spans="2:13">
      <c r="B1290" s="64" t="s">
        <v>872</v>
      </c>
      <c r="C1290" s="51"/>
      <c r="D1290" s="35"/>
      <c r="E1290" s="35">
        <v>72</v>
      </c>
      <c r="F1290" s="35">
        <v>8</v>
      </c>
      <c r="G1290" s="35"/>
      <c r="H1290" s="35"/>
      <c r="I1290" s="35" t="s">
        <v>323</v>
      </c>
      <c r="J1290" s="35"/>
      <c r="K1290" s="35"/>
      <c r="L1290" s="35">
        <v>11</v>
      </c>
      <c r="M1290" s="35" t="s">
        <v>348</v>
      </c>
    </row>
    <row r="1291" spans="2:13">
      <c r="B1291" s="64" t="s">
        <v>872</v>
      </c>
      <c r="C1291" s="51"/>
      <c r="D1291" s="35"/>
      <c r="E1291" s="35">
        <v>72</v>
      </c>
      <c r="F1291" s="35">
        <v>8</v>
      </c>
      <c r="G1291" s="35"/>
      <c r="H1291" s="35"/>
      <c r="I1291" s="35" t="s">
        <v>323</v>
      </c>
      <c r="J1291" s="35"/>
      <c r="K1291" s="35"/>
      <c r="L1291" s="35">
        <v>12</v>
      </c>
      <c r="M1291" s="35" t="s">
        <v>348</v>
      </c>
    </row>
    <row r="1292" spans="2:13">
      <c r="B1292" s="64" t="s">
        <v>872</v>
      </c>
      <c r="C1292" s="51"/>
      <c r="D1292" s="35"/>
      <c r="E1292" s="35">
        <v>72</v>
      </c>
      <c r="F1292" s="35">
        <v>8</v>
      </c>
      <c r="G1292" s="35"/>
      <c r="H1292" s="35"/>
      <c r="I1292" s="35" t="s">
        <v>323</v>
      </c>
      <c r="J1292" s="35"/>
      <c r="K1292" s="35"/>
      <c r="L1292" s="35">
        <v>13</v>
      </c>
      <c r="M1292" s="35" t="s">
        <v>349</v>
      </c>
    </row>
    <row r="1293" spans="2:13">
      <c r="B1293" s="64" t="s">
        <v>872</v>
      </c>
      <c r="C1293" s="51"/>
      <c r="D1293" s="35"/>
      <c r="E1293" s="35">
        <v>72</v>
      </c>
      <c r="F1293" s="35">
        <v>8</v>
      </c>
      <c r="G1293" s="35"/>
      <c r="H1293" s="35"/>
      <c r="I1293" s="35" t="s">
        <v>323</v>
      </c>
      <c r="J1293" s="35"/>
      <c r="K1293" s="35"/>
      <c r="L1293" s="35">
        <v>14</v>
      </c>
      <c r="M1293" s="35" t="s">
        <v>349</v>
      </c>
    </row>
    <row r="1294" spans="2:13">
      <c r="B1294" s="64" t="s">
        <v>872</v>
      </c>
      <c r="C1294" s="51"/>
      <c r="D1294" s="35"/>
      <c r="E1294" s="35">
        <v>72</v>
      </c>
      <c r="F1294" s="35">
        <v>8</v>
      </c>
      <c r="G1294" s="35"/>
      <c r="H1294" s="35"/>
      <c r="I1294" s="35" t="s">
        <v>323</v>
      </c>
      <c r="J1294" s="35"/>
      <c r="K1294" s="35"/>
      <c r="L1294" s="35">
        <v>15</v>
      </c>
      <c r="M1294" s="35" t="s">
        <v>350</v>
      </c>
    </row>
    <row r="1295" spans="2:13">
      <c r="B1295" s="64" t="s">
        <v>872</v>
      </c>
      <c r="C1295" s="51"/>
      <c r="D1295" s="35"/>
      <c r="E1295" s="35">
        <v>72</v>
      </c>
      <c r="F1295" s="35">
        <v>8</v>
      </c>
      <c r="G1295" s="35"/>
      <c r="H1295" s="35"/>
      <c r="I1295" s="35" t="s">
        <v>323</v>
      </c>
      <c r="J1295" s="35"/>
      <c r="K1295" s="35"/>
      <c r="L1295" s="35">
        <v>16</v>
      </c>
      <c r="M1295" s="35" t="s">
        <v>350</v>
      </c>
    </row>
    <row r="1296" spans="2:13">
      <c r="B1296" s="64" t="s">
        <v>872</v>
      </c>
      <c r="C1296" s="51"/>
      <c r="D1296" s="35"/>
      <c r="E1296" s="35">
        <v>72</v>
      </c>
      <c r="F1296" s="35">
        <v>8</v>
      </c>
      <c r="G1296" s="35"/>
      <c r="H1296" s="35"/>
      <c r="I1296" s="35" t="s">
        <v>323</v>
      </c>
      <c r="J1296" s="35"/>
      <c r="K1296" s="35"/>
      <c r="L1296" s="35">
        <v>17</v>
      </c>
      <c r="M1296" s="35" t="s">
        <v>382</v>
      </c>
    </row>
    <row r="1297" spans="2:13">
      <c r="B1297" s="64" t="s">
        <v>872</v>
      </c>
      <c r="C1297" s="51"/>
      <c r="D1297" s="35"/>
      <c r="E1297" s="35">
        <v>72</v>
      </c>
      <c r="F1297" s="35">
        <v>8</v>
      </c>
      <c r="G1297" s="35"/>
      <c r="H1297" s="35"/>
      <c r="I1297" s="35" t="s">
        <v>323</v>
      </c>
      <c r="J1297" s="35"/>
      <c r="K1297" s="35"/>
      <c r="L1297" s="35">
        <v>18</v>
      </c>
      <c r="M1297" s="35" t="s">
        <v>382</v>
      </c>
    </row>
    <row r="1298" spans="2:13">
      <c r="B1298" s="64" t="s">
        <v>872</v>
      </c>
      <c r="C1298" s="51"/>
      <c r="D1298" s="35"/>
      <c r="E1298" s="35">
        <v>72</v>
      </c>
      <c r="F1298" s="35">
        <v>8</v>
      </c>
      <c r="G1298" s="35"/>
      <c r="H1298" s="35"/>
      <c r="I1298" s="35" t="s">
        <v>323</v>
      </c>
      <c r="J1298" s="35"/>
      <c r="K1298" s="35"/>
      <c r="L1298" s="35">
        <v>19</v>
      </c>
      <c r="M1298" s="35" t="s">
        <v>382</v>
      </c>
    </row>
    <row r="1299" spans="2:13">
      <c r="B1299" s="64" t="s">
        <v>872</v>
      </c>
      <c r="C1299" s="51"/>
      <c r="D1299" s="35"/>
      <c r="E1299" s="35">
        <v>72</v>
      </c>
      <c r="F1299" s="35">
        <v>8</v>
      </c>
      <c r="G1299" s="35"/>
      <c r="H1299" s="35"/>
      <c r="I1299" s="35" t="s">
        <v>323</v>
      </c>
      <c r="J1299" s="35"/>
      <c r="K1299" s="35"/>
      <c r="L1299" s="35">
        <v>20</v>
      </c>
      <c r="M1299" s="35" t="s">
        <v>351</v>
      </c>
    </row>
    <row r="1300" spans="2:13">
      <c r="B1300" s="64" t="s">
        <v>872</v>
      </c>
      <c r="C1300" s="51"/>
      <c r="D1300" s="35"/>
      <c r="E1300" s="35">
        <v>72</v>
      </c>
      <c r="F1300" s="35">
        <v>8</v>
      </c>
      <c r="G1300" s="35"/>
      <c r="H1300" s="35"/>
      <c r="I1300" s="35" t="s">
        <v>323</v>
      </c>
      <c r="J1300" s="35"/>
      <c r="K1300" s="35"/>
      <c r="L1300" s="35">
        <v>21</v>
      </c>
      <c r="M1300" s="35" t="s">
        <v>352</v>
      </c>
    </row>
    <row r="1301" spans="2:13">
      <c r="B1301" s="64" t="s">
        <v>872</v>
      </c>
      <c r="C1301" s="51"/>
      <c r="D1301" s="35"/>
      <c r="E1301" s="35">
        <v>72</v>
      </c>
      <c r="F1301" s="35">
        <v>8</v>
      </c>
      <c r="G1301" s="35"/>
      <c r="H1301" s="35"/>
      <c r="I1301" s="35" t="s">
        <v>323</v>
      </c>
      <c r="J1301" s="35"/>
      <c r="K1301" s="35"/>
      <c r="L1301" s="35">
        <v>22</v>
      </c>
      <c r="M1301" s="35" t="s">
        <v>382</v>
      </c>
    </row>
    <row r="1302" spans="2:13">
      <c r="B1302" s="64" t="s">
        <v>872</v>
      </c>
      <c r="C1302" s="51"/>
      <c r="D1302" s="35"/>
      <c r="E1302" s="35">
        <v>72</v>
      </c>
      <c r="F1302" s="35">
        <v>8</v>
      </c>
      <c r="G1302" s="35"/>
      <c r="H1302" s="35"/>
      <c r="I1302" s="35" t="s">
        <v>323</v>
      </c>
      <c r="J1302" s="35"/>
      <c r="K1302" s="35"/>
      <c r="L1302" s="35">
        <v>23</v>
      </c>
      <c r="M1302" s="35" t="s">
        <v>381</v>
      </c>
    </row>
    <row r="1303" spans="2:13">
      <c r="B1303" s="64" t="s">
        <v>872</v>
      </c>
      <c r="C1303" s="51"/>
      <c r="D1303" s="35"/>
      <c r="E1303" s="35">
        <v>72</v>
      </c>
      <c r="F1303" s="35">
        <v>8</v>
      </c>
      <c r="G1303" s="35"/>
      <c r="H1303" s="35"/>
      <c r="I1303" s="35" t="s">
        <v>323</v>
      </c>
      <c r="J1303" s="35"/>
      <c r="K1303" s="35"/>
      <c r="L1303" s="35">
        <v>24</v>
      </c>
      <c r="M1303" s="35" t="s">
        <v>382</v>
      </c>
    </row>
    <row r="1304" spans="2:13">
      <c r="B1304" s="64" t="s">
        <v>872</v>
      </c>
      <c r="C1304" s="51"/>
      <c r="D1304" s="35"/>
      <c r="E1304" s="35">
        <v>72</v>
      </c>
      <c r="F1304" s="35">
        <v>8</v>
      </c>
      <c r="G1304" s="35"/>
      <c r="H1304" s="35"/>
      <c r="I1304" s="35" t="s">
        <v>323</v>
      </c>
      <c r="J1304" s="35"/>
      <c r="K1304" s="35"/>
      <c r="L1304" s="35">
        <v>25</v>
      </c>
      <c r="M1304" s="35" t="s">
        <v>381</v>
      </c>
    </row>
    <row r="1305" spans="2:13">
      <c r="B1305" s="64" t="s">
        <v>872</v>
      </c>
      <c r="C1305" s="51"/>
      <c r="D1305" s="35"/>
      <c r="E1305" s="35">
        <v>72</v>
      </c>
      <c r="F1305" s="35">
        <v>8</v>
      </c>
      <c r="G1305" s="35"/>
      <c r="H1305" s="35"/>
      <c r="I1305" s="35" t="s">
        <v>323</v>
      </c>
      <c r="J1305" s="35"/>
      <c r="K1305" s="35"/>
      <c r="L1305" s="35">
        <v>26</v>
      </c>
      <c r="M1305" s="35" t="s">
        <v>382</v>
      </c>
    </row>
    <row r="1306" spans="2:13">
      <c r="B1306" s="64" t="s">
        <v>872</v>
      </c>
      <c r="C1306" s="51"/>
      <c r="D1306" s="35"/>
      <c r="E1306" s="35">
        <v>72</v>
      </c>
      <c r="F1306" s="35">
        <v>8</v>
      </c>
      <c r="G1306" s="35"/>
      <c r="H1306" s="35"/>
      <c r="I1306" s="35" t="s">
        <v>323</v>
      </c>
      <c r="J1306" s="35"/>
      <c r="K1306" s="35"/>
      <c r="L1306" s="35">
        <v>27</v>
      </c>
      <c r="M1306" s="35" t="s">
        <v>381</v>
      </c>
    </row>
    <row r="1307" spans="2:13">
      <c r="B1307" s="64" t="s">
        <v>872</v>
      </c>
      <c r="C1307" s="51"/>
      <c r="D1307" s="35"/>
      <c r="E1307" s="35">
        <v>72</v>
      </c>
      <c r="F1307" s="35">
        <v>8</v>
      </c>
      <c r="G1307" s="35"/>
      <c r="H1307" s="35"/>
      <c r="I1307" s="35" t="s">
        <v>323</v>
      </c>
      <c r="J1307" s="35"/>
      <c r="K1307" s="35"/>
      <c r="L1307" s="35">
        <v>28</v>
      </c>
      <c r="M1307" s="35" t="s">
        <v>382</v>
      </c>
    </row>
    <row r="1308" spans="2:13">
      <c r="B1308" s="64" t="s">
        <v>872</v>
      </c>
      <c r="C1308" s="51"/>
      <c r="D1308" s="35"/>
      <c r="E1308" s="35">
        <v>72</v>
      </c>
      <c r="F1308" s="35">
        <v>8</v>
      </c>
      <c r="G1308" s="35"/>
      <c r="H1308" s="35"/>
      <c r="I1308" s="35" t="s">
        <v>323</v>
      </c>
      <c r="J1308" s="35"/>
      <c r="K1308" s="35"/>
      <c r="L1308" s="35">
        <v>29</v>
      </c>
      <c r="M1308" s="35" t="s">
        <v>381</v>
      </c>
    </row>
    <row r="1309" spans="2:13">
      <c r="B1309" s="64" t="s">
        <v>872</v>
      </c>
      <c r="C1309" s="51"/>
      <c r="D1309" s="35"/>
      <c r="E1309" s="35">
        <v>72</v>
      </c>
      <c r="F1309" s="35">
        <v>8</v>
      </c>
      <c r="G1309" s="35"/>
      <c r="H1309" s="35"/>
      <c r="I1309" s="35" t="s">
        <v>323</v>
      </c>
      <c r="J1309" s="35"/>
      <c r="K1309" s="35"/>
      <c r="L1309" s="35">
        <v>30</v>
      </c>
      <c r="M1309" s="35" t="s">
        <v>382</v>
      </c>
    </row>
    <row r="1310" spans="2:13">
      <c r="B1310" s="64" t="s">
        <v>872</v>
      </c>
      <c r="C1310" s="51"/>
      <c r="D1310" s="35"/>
      <c r="E1310" s="35">
        <v>72</v>
      </c>
      <c r="F1310" s="35">
        <v>8</v>
      </c>
      <c r="G1310" s="35"/>
      <c r="H1310" s="35"/>
      <c r="I1310" s="35" t="s">
        <v>323</v>
      </c>
      <c r="J1310" s="35"/>
      <c r="K1310" s="35"/>
      <c r="L1310" s="35">
        <v>31</v>
      </c>
      <c r="M1310" s="35" t="s">
        <v>381</v>
      </c>
    </row>
    <row r="1311" spans="2:13">
      <c r="B1311" s="64" t="s">
        <v>872</v>
      </c>
      <c r="C1311" s="51"/>
      <c r="D1311" s="35"/>
      <c r="E1311" s="35">
        <v>72</v>
      </c>
      <c r="F1311" s="35">
        <v>8</v>
      </c>
      <c r="G1311" s="35"/>
      <c r="H1311" s="35"/>
      <c r="I1311" s="35" t="s">
        <v>323</v>
      </c>
      <c r="J1311" s="35"/>
      <c r="K1311" s="35"/>
      <c r="L1311" s="35">
        <v>32</v>
      </c>
      <c r="M1311" s="35" t="s">
        <v>382</v>
      </c>
    </row>
    <row r="1312" spans="2:13">
      <c r="B1312" s="64" t="s">
        <v>872</v>
      </c>
      <c r="C1312" s="51"/>
      <c r="D1312" s="35"/>
      <c r="E1312" s="35">
        <v>72</v>
      </c>
      <c r="F1312" s="35">
        <v>8</v>
      </c>
      <c r="G1312" s="35"/>
      <c r="H1312" s="35"/>
      <c r="I1312" s="35" t="s">
        <v>323</v>
      </c>
      <c r="J1312" s="35"/>
      <c r="K1312" s="35"/>
      <c r="L1312" s="35">
        <v>33</v>
      </c>
      <c r="M1312" s="35" t="s">
        <v>381</v>
      </c>
    </row>
    <row r="1313" spans="2:13">
      <c r="B1313" s="64" t="s">
        <v>872</v>
      </c>
      <c r="C1313" s="51"/>
      <c r="D1313" s="35"/>
      <c r="E1313" s="35">
        <v>72</v>
      </c>
      <c r="F1313" s="35">
        <v>8</v>
      </c>
      <c r="G1313" s="35"/>
      <c r="H1313" s="35"/>
      <c r="I1313" s="35" t="s">
        <v>323</v>
      </c>
      <c r="J1313" s="35"/>
      <c r="K1313" s="35"/>
      <c r="L1313" s="35">
        <v>34</v>
      </c>
      <c r="M1313" s="35" t="s">
        <v>382</v>
      </c>
    </row>
    <row r="1314" spans="2:13">
      <c r="B1314" s="64" t="s">
        <v>872</v>
      </c>
      <c r="C1314" s="51"/>
      <c r="D1314" s="35"/>
      <c r="E1314" s="35">
        <v>72</v>
      </c>
      <c r="F1314" s="35">
        <v>8</v>
      </c>
      <c r="G1314" s="35"/>
      <c r="H1314" s="35"/>
      <c r="I1314" s="35" t="s">
        <v>323</v>
      </c>
      <c r="J1314" s="35"/>
      <c r="K1314" s="35"/>
      <c r="L1314" s="35">
        <v>35</v>
      </c>
      <c r="M1314" s="35" t="s">
        <v>381</v>
      </c>
    </row>
    <row r="1315" spans="2:13">
      <c r="B1315" s="64" t="s">
        <v>872</v>
      </c>
      <c r="C1315" s="51"/>
      <c r="D1315" s="35"/>
      <c r="E1315" s="35">
        <v>72</v>
      </c>
      <c r="F1315" s="35">
        <v>8</v>
      </c>
      <c r="G1315" s="35"/>
      <c r="H1315" s="35"/>
      <c r="I1315" s="35" t="s">
        <v>323</v>
      </c>
      <c r="J1315" s="35"/>
      <c r="K1315" s="35"/>
      <c r="L1315" s="35">
        <v>36</v>
      </c>
      <c r="M1315" s="35" t="s">
        <v>382</v>
      </c>
    </row>
    <row r="1316" spans="2:13">
      <c r="B1316" s="64" t="s">
        <v>872</v>
      </c>
      <c r="C1316" s="51"/>
      <c r="D1316" s="35"/>
      <c r="E1316" s="35">
        <v>72</v>
      </c>
      <c r="F1316" s="35">
        <v>8</v>
      </c>
      <c r="G1316" s="35"/>
      <c r="H1316" s="35"/>
      <c r="I1316" s="35" t="s">
        <v>323</v>
      </c>
      <c r="J1316" s="35"/>
      <c r="K1316" s="35"/>
      <c r="L1316" s="35">
        <v>37</v>
      </c>
      <c r="M1316" s="35" t="s">
        <v>381</v>
      </c>
    </row>
    <row r="1317" spans="2:13">
      <c r="B1317" s="64" t="s">
        <v>872</v>
      </c>
      <c r="C1317" s="51"/>
      <c r="D1317" s="35"/>
      <c r="E1317" s="35">
        <v>72</v>
      </c>
      <c r="F1317" s="35">
        <v>8</v>
      </c>
      <c r="G1317" s="35"/>
      <c r="H1317" s="35"/>
      <c r="I1317" s="35" t="s">
        <v>323</v>
      </c>
      <c r="J1317" s="35"/>
      <c r="K1317" s="35"/>
      <c r="L1317" s="35">
        <v>38</v>
      </c>
      <c r="M1317" s="35" t="s">
        <v>382</v>
      </c>
    </row>
    <row r="1318" spans="2:13">
      <c r="B1318" s="64" t="s">
        <v>872</v>
      </c>
      <c r="C1318" s="51"/>
      <c r="D1318" s="35"/>
      <c r="E1318" s="35">
        <v>72</v>
      </c>
      <c r="F1318" s="35">
        <v>8</v>
      </c>
      <c r="G1318" s="35"/>
      <c r="H1318" s="35"/>
      <c r="I1318" s="35" t="s">
        <v>323</v>
      </c>
      <c r="J1318" s="35"/>
      <c r="K1318" s="35"/>
      <c r="L1318" s="35">
        <v>39</v>
      </c>
      <c r="M1318" s="35" t="s">
        <v>381</v>
      </c>
    </row>
    <row r="1319" spans="2:13">
      <c r="B1319" s="64" t="s">
        <v>872</v>
      </c>
      <c r="C1319" s="51"/>
      <c r="D1319" s="35"/>
      <c r="E1319" s="35">
        <v>72</v>
      </c>
      <c r="F1319" s="35">
        <v>8</v>
      </c>
      <c r="G1319" s="35"/>
      <c r="H1319" s="35"/>
      <c r="I1319" s="35" t="s">
        <v>323</v>
      </c>
      <c r="J1319" s="35"/>
      <c r="K1319" s="35"/>
      <c r="L1319" s="35">
        <v>40</v>
      </c>
      <c r="M1319" s="35" t="s">
        <v>353</v>
      </c>
    </row>
    <row r="1320" spans="2:13">
      <c r="B1320" s="64" t="s">
        <v>872</v>
      </c>
      <c r="C1320" s="51"/>
      <c r="D1320" s="35"/>
      <c r="E1320" s="35">
        <v>72</v>
      </c>
      <c r="F1320" s="35">
        <v>8</v>
      </c>
      <c r="G1320" s="35"/>
      <c r="H1320" s="35"/>
      <c r="I1320" s="35" t="s">
        <v>323</v>
      </c>
      <c r="J1320" s="35"/>
      <c r="K1320" s="35"/>
      <c r="L1320" s="35">
        <v>41</v>
      </c>
      <c r="M1320" s="35" t="s">
        <v>353</v>
      </c>
    </row>
    <row r="1321" spans="2:13">
      <c r="B1321" s="64" t="s">
        <v>872</v>
      </c>
      <c r="C1321" s="51"/>
      <c r="D1321" s="35"/>
      <c r="E1321" s="35">
        <v>72</v>
      </c>
      <c r="F1321" s="35">
        <v>8</v>
      </c>
      <c r="G1321" s="35"/>
      <c r="H1321" s="35"/>
      <c r="I1321" s="35" t="s">
        <v>323</v>
      </c>
      <c r="J1321" s="35"/>
      <c r="K1321" s="35"/>
      <c r="L1321" s="35">
        <v>42</v>
      </c>
      <c r="M1321" s="35" t="s">
        <v>354</v>
      </c>
    </row>
    <row r="1322" spans="2:13">
      <c r="B1322" s="64" t="s">
        <v>872</v>
      </c>
      <c r="C1322" s="51"/>
      <c r="D1322" s="35"/>
      <c r="E1322" s="35">
        <v>72</v>
      </c>
      <c r="F1322" s="35">
        <v>8</v>
      </c>
      <c r="G1322" s="35"/>
      <c r="H1322" s="35"/>
      <c r="I1322" s="35" t="s">
        <v>323</v>
      </c>
      <c r="J1322" s="35"/>
      <c r="K1322" s="35"/>
      <c r="L1322" s="35">
        <v>43</v>
      </c>
      <c r="M1322" s="35" t="s">
        <v>354</v>
      </c>
    </row>
    <row r="1323" spans="2:13">
      <c r="B1323" s="64" t="s">
        <v>872</v>
      </c>
      <c r="C1323" s="51"/>
      <c r="D1323" s="35"/>
      <c r="E1323" s="35">
        <v>72</v>
      </c>
      <c r="F1323" s="35">
        <v>8</v>
      </c>
      <c r="G1323" s="35"/>
      <c r="H1323" s="35"/>
      <c r="I1323" s="35" t="s">
        <v>323</v>
      </c>
      <c r="J1323" s="35"/>
      <c r="K1323" s="35"/>
      <c r="L1323" s="35">
        <v>44</v>
      </c>
      <c r="M1323" s="35" t="s">
        <v>355</v>
      </c>
    </row>
    <row r="1324" spans="2:13">
      <c r="B1324" s="64" t="s">
        <v>872</v>
      </c>
      <c r="C1324" s="51"/>
      <c r="D1324" s="35"/>
      <c r="E1324" s="35">
        <v>72</v>
      </c>
      <c r="F1324" s="35">
        <v>8</v>
      </c>
      <c r="G1324" s="35"/>
      <c r="H1324" s="35"/>
      <c r="I1324" s="35" t="s">
        <v>323</v>
      </c>
      <c r="J1324" s="35"/>
      <c r="K1324" s="35"/>
      <c r="L1324" s="35">
        <v>45</v>
      </c>
      <c r="M1324" s="35" t="s">
        <v>355</v>
      </c>
    </row>
    <row r="1325" spans="2:13">
      <c r="B1325" s="64" t="s">
        <v>872</v>
      </c>
      <c r="C1325" s="51"/>
      <c r="D1325" s="35"/>
      <c r="E1325" s="35">
        <v>72</v>
      </c>
      <c r="F1325" s="35">
        <v>8</v>
      </c>
      <c r="G1325" s="35"/>
      <c r="H1325" s="35"/>
      <c r="I1325" s="35" t="s">
        <v>323</v>
      </c>
      <c r="J1325" s="35"/>
      <c r="K1325" s="35"/>
      <c r="L1325" s="35">
        <v>46</v>
      </c>
      <c r="M1325" s="35" t="s">
        <v>356</v>
      </c>
    </row>
    <row r="1326" spans="2:13">
      <c r="B1326" s="64" t="s">
        <v>872</v>
      </c>
      <c r="C1326" s="51"/>
      <c r="D1326" s="35"/>
      <c r="E1326" s="35">
        <v>72</v>
      </c>
      <c r="F1326" s="35">
        <v>8</v>
      </c>
      <c r="G1326" s="35"/>
      <c r="H1326" s="35"/>
      <c r="I1326" s="35" t="s">
        <v>323</v>
      </c>
      <c r="J1326" s="35"/>
      <c r="K1326" s="35"/>
      <c r="L1326" s="35">
        <v>47</v>
      </c>
      <c r="M1326" s="35" t="s">
        <v>356</v>
      </c>
    </row>
    <row r="1327" spans="2:13">
      <c r="B1327" s="64" t="s">
        <v>872</v>
      </c>
      <c r="C1327" s="51"/>
      <c r="D1327" s="35"/>
      <c r="E1327" s="35">
        <v>72</v>
      </c>
      <c r="F1327" s="35">
        <v>8</v>
      </c>
      <c r="G1327" s="35"/>
      <c r="H1327" s="35"/>
      <c r="I1327" s="35" t="s">
        <v>323</v>
      </c>
      <c r="J1327" s="35"/>
      <c r="K1327" s="35"/>
      <c r="L1327" s="35">
        <v>48</v>
      </c>
      <c r="M1327" s="35" t="s">
        <v>357</v>
      </c>
    </row>
    <row r="1328" spans="2:13">
      <c r="B1328" s="64" t="s">
        <v>872</v>
      </c>
      <c r="C1328" s="51"/>
      <c r="D1328" s="35"/>
      <c r="E1328" s="35">
        <v>72</v>
      </c>
      <c r="F1328" s="35">
        <v>8</v>
      </c>
      <c r="G1328" s="35"/>
      <c r="H1328" s="35"/>
      <c r="I1328" s="35" t="s">
        <v>323</v>
      </c>
      <c r="J1328" s="35"/>
      <c r="K1328" s="35"/>
      <c r="L1328" s="35">
        <v>49</v>
      </c>
      <c r="M1328" s="35" t="s">
        <v>357</v>
      </c>
    </row>
    <row r="1329" spans="2:13">
      <c r="B1329" s="64" t="s">
        <v>872</v>
      </c>
      <c r="C1329" s="51"/>
      <c r="D1329" s="35"/>
      <c r="E1329" s="35">
        <v>72</v>
      </c>
      <c r="F1329" s="35">
        <v>8</v>
      </c>
      <c r="G1329" s="35"/>
      <c r="H1329" s="35"/>
      <c r="I1329" s="35" t="s">
        <v>323</v>
      </c>
      <c r="J1329" s="35"/>
      <c r="K1329" s="35"/>
      <c r="L1329" s="35">
        <v>50</v>
      </c>
      <c r="M1329" s="35" t="s">
        <v>358</v>
      </c>
    </row>
    <row r="1330" spans="2:13">
      <c r="B1330" s="64" t="s">
        <v>872</v>
      </c>
      <c r="C1330" s="51"/>
      <c r="D1330" s="35"/>
      <c r="E1330" s="35">
        <v>72</v>
      </c>
      <c r="F1330" s="35">
        <v>8</v>
      </c>
      <c r="G1330" s="35"/>
      <c r="H1330" s="35"/>
      <c r="I1330" s="35" t="s">
        <v>323</v>
      </c>
      <c r="J1330" s="35"/>
      <c r="K1330" s="35"/>
      <c r="L1330" s="35">
        <v>51</v>
      </c>
      <c r="M1330" s="35" t="s">
        <v>358</v>
      </c>
    </row>
    <row r="1331" spans="2:13">
      <c r="B1331" s="64" t="s">
        <v>872</v>
      </c>
      <c r="C1331" s="51"/>
      <c r="D1331" s="35"/>
      <c r="E1331" s="35">
        <v>72</v>
      </c>
      <c r="F1331" s="35">
        <v>8</v>
      </c>
      <c r="G1331" s="35"/>
      <c r="H1331" s="35"/>
      <c r="I1331" s="35" t="s">
        <v>323</v>
      </c>
      <c r="J1331" s="35"/>
      <c r="K1331" s="35"/>
      <c r="L1331" s="35">
        <v>52</v>
      </c>
      <c r="M1331" s="35" t="s">
        <v>359</v>
      </c>
    </row>
    <row r="1332" spans="2:13">
      <c r="B1332" s="64" t="s">
        <v>872</v>
      </c>
      <c r="C1332" s="51"/>
      <c r="D1332" s="35"/>
      <c r="E1332" s="35">
        <v>72</v>
      </c>
      <c r="F1332" s="35">
        <v>8</v>
      </c>
      <c r="G1332" s="35"/>
      <c r="H1332" s="35"/>
      <c r="I1332" s="35" t="s">
        <v>323</v>
      </c>
      <c r="J1332" s="35"/>
      <c r="K1332" s="35"/>
      <c r="L1332" s="35">
        <v>53</v>
      </c>
      <c r="M1332" s="35" t="s">
        <v>359</v>
      </c>
    </row>
    <row r="1333" spans="2:13">
      <c r="B1333" s="64" t="s">
        <v>872</v>
      </c>
      <c r="C1333" s="51"/>
      <c r="D1333" s="35"/>
      <c r="E1333" s="35">
        <v>72</v>
      </c>
      <c r="F1333" s="35">
        <v>8</v>
      </c>
      <c r="G1333" s="35"/>
      <c r="H1333" s="35"/>
      <c r="I1333" s="35" t="s">
        <v>323</v>
      </c>
      <c r="J1333" s="35"/>
      <c r="K1333" s="35"/>
      <c r="L1333" s="35">
        <v>54</v>
      </c>
      <c r="M1333" s="35" t="s">
        <v>360</v>
      </c>
    </row>
    <row r="1334" spans="2:13">
      <c r="B1334" s="64" t="s">
        <v>872</v>
      </c>
      <c r="C1334" s="51"/>
      <c r="D1334" s="35"/>
      <c r="E1334" s="35">
        <v>72</v>
      </c>
      <c r="F1334" s="35">
        <v>8</v>
      </c>
      <c r="G1334" s="35"/>
      <c r="H1334" s="35"/>
      <c r="I1334" s="35" t="s">
        <v>323</v>
      </c>
      <c r="J1334" s="35"/>
      <c r="K1334" s="35"/>
      <c r="L1334" s="35">
        <v>55</v>
      </c>
      <c r="M1334" s="35" t="s">
        <v>360</v>
      </c>
    </row>
    <row r="1335" spans="2:13">
      <c r="B1335" s="64" t="s">
        <v>872</v>
      </c>
      <c r="C1335" s="51"/>
      <c r="D1335" s="35"/>
      <c r="E1335" s="35">
        <v>72</v>
      </c>
      <c r="F1335" s="35">
        <v>8</v>
      </c>
      <c r="G1335" s="35"/>
      <c r="H1335" s="35"/>
      <c r="I1335" s="35" t="s">
        <v>323</v>
      </c>
      <c r="J1335" s="35"/>
      <c r="K1335" s="35"/>
      <c r="L1335" s="35">
        <v>56</v>
      </c>
      <c r="M1335" s="35" t="s">
        <v>361</v>
      </c>
    </row>
    <row r="1336" spans="2:13">
      <c r="B1336" s="64" t="s">
        <v>872</v>
      </c>
      <c r="C1336" s="51"/>
      <c r="D1336" s="35"/>
      <c r="E1336" s="35">
        <v>72</v>
      </c>
      <c r="F1336" s="35">
        <v>8</v>
      </c>
      <c r="G1336" s="35"/>
      <c r="H1336" s="35"/>
      <c r="I1336" s="35" t="s">
        <v>323</v>
      </c>
      <c r="J1336" s="35"/>
      <c r="K1336" s="35"/>
      <c r="L1336" s="35">
        <v>57</v>
      </c>
      <c r="M1336" s="35" t="s">
        <v>361</v>
      </c>
    </row>
    <row r="1337" spans="2:13">
      <c r="B1337" s="64" t="s">
        <v>872</v>
      </c>
      <c r="C1337" s="51"/>
      <c r="D1337" s="35"/>
      <c r="E1337" s="35">
        <v>72</v>
      </c>
      <c r="F1337" s="35">
        <v>8</v>
      </c>
      <c r="G1337" s="35"/>
      <c r="H1337" s="35"/>
      <c r="I1337" s="35" t="s">
        <v>323</v>
      </c>
      <c r="J1337" s="35"/>
      <c r="K1337" s="35"/>
      <c r="L1337" s="35">
        <v>58</v>
      </c>
      <c r="M1337" s="35" t="s">
        <v>362</v>
      </c>
    </row>
    <row r="1338" spans="2:13">
      <c r="B1338" s="64" t="s">
        <v>872</v>
      </c>
      <c r="C1338" s="51"/>
      <c r="D1338" s="35"/>
      <c r="E1338" s="35">
        <v>72</v>
      </c>
      <c r="F1338" s="35">
        <v>8</v>
      </c>
      <c r="G1338" s="35"/>
      <c r="H1338" s="35"/>
      <c r="I1338" s="35" t="s">
        <v>323</v>
      </c>
      <c r="J1338" s="35"/>
      <c r="K1338" s="35"/>
      <c r="L1338" s="35">
        <v>59</v>
      </c>
      <c r="M1338" s="35" t="s">
        <v>362</v>
      </c>
    </row>
    <row r="1339" spans="2:13">
      <c r="B1339" s="64" t="s">
        <v>872</v>
      </c>
      <c r="C1339" s="51"/>
      <c r="D1339" s="35"/>
      <c r="E1339" s="35">
        <v>72</v>
      </c>
      <c r="F1339" s="35">
        <v>8</v>
      </c>
      <c r="G1339" s="35"/>
      <c r="H1339" s="35"/>
      <c r="I1339" s="35" t="s">
        <v>323</v>
      </c>
      <c r="J1339" s="35"/>
      <c r="K1339" s="35"/>
      <c r="L1339" s="35">
        <v>60</v>
      </c>
      <c r="M1339" s="35" t="s">
        <v>363</v>
      </c>
    </row>
    <row r="1340" spans="2:13">
      <c r="B1340" s="64" t="s">
        <v>872</v>
      </c>
      <c r="C1340" s="51"/>
      <c r="D1340" s="35"/>
      <c r="E1340" s="35">
        <v>72</v>
      </c>
      <c r="F1340" s="35">
        <v>8</v>
      </c>
      <c r="G1340" s="35"/>
      <c r="H1340" s="35"/>
      <c r="I1340" s="35" t="s">
        <v>323</v>
      </c>
      <c r="J1340" s="35"/>
      <c r="K1340" s="35"/>
      <c r="L1340" s="35">
        <v>61</v>
      </c>
      <c r="M1340" s="35" t="s">
        <v>363</v>
      </c>
    </row>
    <row r="1341" spans="2:13">
      <c r="B1341" s="64" t="s">
        <v>872</v>
      </c>
      <c r="C1341" s="51"/>
      <c r="D1341" s="35"/>
      <c r="E1341" s="35">
        <v>72</v>
      </c>
      <c r="F1341" s="35">
        <v>8</v>
      </c>
      <c r="G1341" s="35"/>
      <c r="H1341" s="35"/>
      <c r="I1341" s="35" t="s">
        <v>323</v>
      </c>
      <c r="J1341" s="35"/>
      <c r="K1341" s="35"/>
      <c r="L1341" s="35">
        <v>62</v>
      </c>
      <c r="M1341" s="35" t="s">
        <v>364</v>
      </c>
    </row>
    <row r="1342" spans="2:13">
      <c r="B1342" s="64" t="s">
        <v>872</v>
      </c>
      <c r="C1342" s="51"/>
      <c r="D1342" s="35"/>
      <c r="E1342" s="35">
        <v>72</v>
      </c>
      <c r="F1342" s="35">
        <v>8</v>
      </c>
      <c r="G1342" s="35"/>
      <c r="H1342" s="35"/>
      <c r="I1342" s="35" t="s">
        <v>323</v>
      </c>
      <c r="J1342" s="35"/>
      <c r="K1342" s="35"/>
      <c r="L1342" s="35">
        <v>63</v>
      </c>
      <c r="M1342" s="35" t="s">
        <v>364</v>
      </c>
    </row>
    <row r="1343" spans="2:13">
      <c r="B1343" s="64" t="s">
        <v>872</v>
      </c>
      <c r="C1343" s="51"/>
      <c r="D1343" s="35"/>
      <c r="E1343" s="35">
        <v>72</v>
      </c>
      <c r="F1343" s="35">
        <v>8</v>
      </c>
      <c r="G1343" s="35"/>
      <c r="H1343" s="35"/>
      <c r="I1343" s="35" t="s">
        <v>323</v>
      </c>
      <c r="J1343" s="35"/>
      <c r="K1343" s="35"/>
      <c r="L1343" s="35">
        <v>64</v>
      </c>
      <c r="M1343" s="35" t="s">
        <v>365</v>
      </c>
    </row>
    <row r="1344" spans="2:13">
      <c r="B1344" s="64" t="s">
        <v>872</v>
      </c>
      <c r="C1344" s="51"/>
      <c r="D1344" s="35"/>
      <c r="E1344" s="35">
        <v>72</v>
      </c>
      <c r="F1344" s="35">
        <v>8</v>
      </c>
      <c r="G1344" s="35"/>
      <c r="H1344" s="35"/>
      <c r="I1344" s="35" t="s">
        <v>323</v>
      </c>
      <c r="J1344" s="35"/>
      <c r="K1344" s="35"/>
      <c r="L1344" s="35">
        <v>65</v>
      </c>
      <c r="M1344" s="35" t="s">
        <v>365</v>
      </c>
    </row>
    <row r="1345" spans="2:13">
      <c r="B1345" s="64" t="s">
        <v>872</v>
      </c>
      <c r="C1345" s="51"/>
      <c r="D1345" s="35"/>
      <c r="E1345" s="35">
        <v>72</v>
      </c>
      <c r="F1345" s="35">
        <v>8</v>
      </c>
      <c r="G1345" s="35"/>
      <c r="H1345" s="35"/>
      <c r="I1345" s="35" t="s">
        <v>323</v>
      </c>
      <c r="J1345" s="35"/>
      <c r="K1345" s="35"/>
      <c r="L1345" s="35">
        <v>66</v>
      </c>
      <c r="M1345" s="35" t="s">
        <v>366</v>
      </c>
    </row>
    <row r="1346" spans="2:13">
      <c r="B1346" s="64" t="s">
        <v>872</v>
      </c>
      <c r="C1346" s="51"/>
      <c r="D1346" s="35"/>
      <c r="E1346" s="35">
        <v>72</v>
      </c>
      <c r="F1346" s="35">
        <v>8</v>
      </c>
      <c r="G1346" s="35"/>
      <c r="H1346" s="35"/>
      <c r="I1346" s="35" t="s">
        <v>323</v>
      </c>
      <c r="J1346" s="35"/>
      <c r="K1346" s="35"/>
      <c r="L1346" s="35">
        <v>67</v>
      </c>
      <c r="M1346" s="35" t="s">
        <v>366</v>
      </c>
    </row>
    <row r="1347" spans="2:13">
      <c r="B1347" s="64" t="s">
        <v>872</v>
      </c>
      <c r="C1347" s="51"/>
      <c r="D1347" s="35"/>
      <c r="E1347" s="35">
        <v>72</v>
      </c>
      <c r="F1347" s="35">
        <v>8</v>
      </c>
      <c r="G1347" s="35"/>
      <c r="H1347" s="35"/>
      <c r="I1347" s="35" t="s">
        <v>323</v>
      </c>
      <c r="J1347" s="35"/>
      <c r="K1347" s="35"/>
      <c r="L1347" s="35">
        <v>68</v>
      </c>
      <c r="M1347" s="35" t="s">
        <v>367</v>
      </c>
    </row>
    <row r="1348" spans="2:13">
      <c r="B1348" s="64" t="s">
        <v>872</v>
      </c>
      <c r="C1348" s="51"/>
      <c r="D1348" s="35"/>
      <c r="E1348" s="35">
        <v>72</v>
      </c>
      <c r="F1348" s="35">
        <v>8</v>
      </c>
      <c r="G1348" s="35"/>
      <c r="H1348" s="35"/>
      <c r="I1348" s="35" t="s">
        <v>323</v>
      </c>
      <c r="J1348" s="35"/>
      <c r="K1348" s="35"/>
      <c r="L1348" s="35">
        <v>69</v>
      </c>
      <c r="M1348" s="35" t="s">
        <v>367</v>
      </c>
    </row>
    <row r="1349" spans="2:13">
      <c r="B1349" s="64" t="s">
        <v>872</v>
      </c>
      <c r="C1349" s="51"/>
      <c r="D1349" s="35"/>
      <c r="E1349" s="35">
        <v>72</v>
      </c>
      <c r="F1349" s="35">
        <v>8</v>
      </c>
      <c r="G1349" s="35"/>
      <c r="H1349" s="35"/>
      <c r="I1349" s="35" t="s">
        <v>323</v>
      </c>
      <c r="J1349" s="35"/>
      <c r="K1349" s="35"/>
      <c r="L1349" s="35">
        <v>70</v>
      </c>
      <c r="M1349" s="51" t="s">
        <v>368</v>
      </c>
    </row>
    <row r="1350" spans="2:13">
      <c r="B1350" s="64" t="s">
        <v>872</v>
      </c>
      <c r="C1350" s="51"/>
      <c r="D1350" s="35"/>
      <c r="E1350" s="35">
        <v>72</v>
      </c>
      <c r="F1350" s="35">
        <v>8</v>
      </c>
      <c r="G1350" s="35"/>
      <c r="H1350" s="35"/>
      <c r="I1350" s="35" t="s">
        <v>323</v>
      </c>
      <c r="J1350" s="35"/>
      <c r="K1350" s="35"/>
      <c r="L1350" s="35">
        <v>71</v>
      </c>
      <c r="M1350" s="51" t="s">
        <v>368</v>
      </c>
    </row>
    <row r="1351" spans="2:13">
      <c r="B1351" s="64" t="s">
        <v>872</v>
      </c>
      <c r="C1351" s="51"/>
      <c r="D1351" s="35"/>
      <c r="E1351" s="35">
        <v>72</v>
      </c>
      <c r="F1351" s="35">
        <v>8</v>
      </c>
      <c r="G1351" s="35"/>
      <c r="H1351" s="35"/>
      <c r="I1351" s="35" t="s">
        <v>323</v>
      </c>
      <c r="J1351" s="35"/>
      <c r="K1351" s="35"/>
      <c r="L1351" s="35">
        <v>72</v>
      </c>
      <c r="M1351" s="35" t="s">
        <v>369</v>
      </c>
    </row>
    <row r="1352" spans="2:13">
      <c r="B1352" s="64" t="s">
        <v>872</v>
      </c>
      <c r="C1352" s="51"/>
      <c r="D1352" s="35"/>
      <c r="E1352" s="35">
        <v>72</v>
      </c>
      <c r="F1352" s="35">
        <v>8</v>
      </c>
      <c r="G1352" s="35"/>
      <c r="H1352" s="35"/>
      <c r="I1352" s="35" t="s">
        <v>323</v>
      </c>
      <c r="J1352" s="35"/>
      <c r="K1352" s="35"/>
      <c r="L1352" s="35">
        <v>73</v>
      </c>
      <c r="M1352" s="35" t="s">
        <v>369</v>
      </c>
    </row>
    <row r="1353" spans="2:13">
      <c r="B1353" s="64" t="s">
        <v>872</v>
      </c>
      <c r="C1353" s="51"/>
      <c r="D1353" s="35"/>
      <c r="E1353" s="35">
        <v>72</v>
      </c>
      <c r="F1353" s="35">
        <v>8</v>
      </c>
      <c r="G1353" s="35"/>
      <c r="H1353" s="35"/>
      <c r="I1353" s="35" t="s">
        <v>323</v>
      </c>
      <c r="J1353" s="35"/>
      <c r="K1353" s="35"/>
      <c r="L1353" s="35">
        <v>74</v>
      </c>
      <c r="M1353" s="35" t="s">
        <v>370</v>
      </c>
    </row>
    <row r="1354" spans="2:13">
      <c r="B1354" s="64" t="s">
        <v>872</v>
      </c>
      <c r="C1354" s="51"/>
      <c r="D1354" s="35"/>
      <c r="E1354" s="35">
        <v>72</v>
      </c>
      <c r="F1354" s="35">
        <v>8</v>
      </c>
      <c r="G1354" s="35"/>
      <c r="H1354" s="35"/>
      <c r="I1354" s="35" t="s">
        <v>323</v>
      </c>
      <c r="J1354" s="35"/>
      <c r="K1354" s="35"/>
      <c r="L1354" s="35">
        <v>75</v>
      </c>
      <c r="M1354" s="35" t="s">
        <v>370</v>
      </c>
    </row>
    <row r="1355" spans="2:13">
      <c r="B1355" s="64" t="s">
        <v>872</v>
      </c>
      <c r="C1355" s="51"/>
      <c r="D1355" s="35"/>
      <c r="E1355" s="35">
        <v>72</v>
      </c>
      <c r="F1355" s="35">
        <v>8</v>
      </c>
      <c r="G1355" s="35"/>
      <c r="H1355" s="35"/>
      <c r="I1355" s="35" t="s">
        <v>323</v>
      </c>
      <c r="J1355" s="35"/>
      <c r="K1355" s="35"/>
      <c r="L1355" s="35">
        <v>76</v>
      </c>
      <c r="M1355" s="35" t="s">
        <v>371</v>
      </c>
    </row>
    <row r="1356" spans="2:13">
      <c r="B1356" s="64" t="s">
        <v>872</v>
      </c>
      <c r="C1356" s="51"/>
      <c r="D1356" s="35"/>
      <c r="E1356" s="35">
        <v>72</v>
      </c>
      <c r="F1356" s="35">
        <v>8</v>
      </c>
      <c r="G1356" s="35"/>
      <c r="H1356" s="35"/>
      <c r="I1356" s="35" t="s">
        <v>323</v>
      </c>
      <c r="J1356" s="35"/>
      <c r="K1356" s="35"/>
      <c r="L1356" s="35">
        <v>77</v>
      </c>
      <c r="M1356" s="35" t="s">
        <v>371</v>
      </c>
    </row>
    <row r="1357" spans="2:13">
      <c r="B1357" s="64" t="s">
        <v>872</v>
      </c>
      <c r="C1357" s="51"/>
      <c r="D1357" s="35"/>
      <c r="E1357" s="35">
        <v>72</v>
      </c>
      <c r="F1357" s="35">
        <v>8</v>
      </c>
      <c r="G1357" s="35"/>
      <c r="H1357" s="35"/>
      <c r="I1357" s="35" t="s">
        <v>323</v>
      </c>
      <c r="J1357" s="35"/>
      <c r="K1357" s="35"/>
      <c r="L1357" s="35">
        <v>78</v>
      </c>
      <c r="M1357" s="35" t="s">
        <v>372</v>
      </c>
    </row>
    <row r="1358" spans="2:13">
      <c r="B1358" s="64" t="s">
        <v>872</v>
      </c>
      <c r="C1358" s="51"/>
      <c r="D1358" s="35"/>
      <c r="E1358" s="35">
        <v>72</v>
      </c>
      <c r="F1358" s="35">
        <v>8</v>
      </c>
      <c r="G1358" s="35"/>
      <c r="H1358" s="35"/>
      <c r="I1358" s="35" t="s">
        <v>323</v>
      </c>
      <c r="J1358" s="35"/>
      <c r="K1358" s="35"/>
      <c r="L1358" s="35">
        <v>79</v>
      </c>
      <c r="M1358" s="35" t="s">
        <v>372</v>
      </c>
    </row>
    <row r="1359" spans="2:13">
      <c r="B1359" s="64" t="s">
        <v>872</v>
      </c>
      <c r="C1359" s="51"/>
      <c r="D1359" s="35"/>
      <c r="E1359" s="35">
        <v>72</v>
      </c>
      <c r="F1359" s="35">
        <v>8</v>
      </c>
      <c r="G1359" s="35"/>
      <c r="H1359" s="35"/>
      <c r="I1359" s="35" t="s">
        <v>323</v>
      </c>
      <c r="J1359" s="35"/>
      <c r="K1359" s="35"/>
      <c r="L1359" s="35">
        <v>80</v>
      </c>
      <c r="M1359" s="35" t="s">
        <v>373</v>
      </c>
    </row>
    <row r="1360" spans="2:13">
      <c r="B1360" s="64" t="s">
        <v>872</v>
      </c>
      <c r="C1360" s="51"/>
      <c r="D1360" s="35"/>
      <c r="E1360" s="35">
        <v>72</v>
      </c>
      <c r="F1360" s="35">
        <v>8</v>
      </c>
      <c r="G1360" s="35"/>
      <c r="H1360" s="35"/>
      <c r="I1360" s="35" t="s">
        <v>323</v>
      </c>
      <c r="J1360" s="35"/>
      <c r="K1360" s="35"/>
      <c r="L1360" s="35">
        <v>81</v>
      </c>
      <c r="M1360" s="35" t="s">
        <v>377</v>
      </c>
    </row>
    <row r="1361" spans="2:13">
      <c r="B1361" s="64" t="s">
        <v>872</v>
      </c>
      <c r="C1361" s="51"/>
      <c r="D1361" s="35"/>
      <c r="E1361" s="35">
        <v>72</v>
      </c>
      <c r="F1361" s="35">
        <v>8</v>
      </c>
      <c r="G1361" s="35"/>
      <c r="H1361" s="35"/>
      <c r="I1361" s="35" t="s">
        <v>323</v>
      </c>
      <c r="J1361" s="35"/>
      <c r="K1361" s="35"/>
      <c r="L1361" s="35">
        <v>82</v>
      </c>
      <c r="M1361" s="35" t="s">
        <v>374</v>
      </c>
    </row>
    <row r="1362" spans="2:13">
      <c r="B1362" s="64" t="s">
        <v>872</v>
      </c>
      <c r="C1362" s="51"/>
      <c r="D1362" s="35"/>
      <c r="E1362" s="35">
        <v>72</v>
      </c>
      <c r="F1362" s="35">
        <v>8</v>
      </c>
      <c r="G1362" s="35"/>
      <c r="H1362" s="35"/>
      <c r="I1362" s="35" t="s">
        <v>323</v>
      </c>
      <c r="J1362" s="35"/>
      <c r="K1362" s="35"/>
      <c r="L1362" s="35">
        <v>83</v>
      </c>
      <c r="M1362" s="35" t="s">
        <v>378</v>
      </c>
    </row>
    <row r="1363" spans="2:13">
      <c r="B1363" s="64" t="s">
        <v>872</v>
      </c>
      <c r="C1363" s="51"/>
      <c r="D1363" s="35"/>
      <c r="E1363" s="35">
        <v>72</v>
      </c>
      <c r="F1363" s="35">
        <v>8</v>
      </c>
      <c r="G1363" s="35"/>
      <c r="H1363" s="35"/>
      <c r="I1363" s="35" t="s">
        <v>323</v>
      </c>
      <c r="J1363" s="35"/>
      <c r="K1363" s="35"/>
      <c r="L1363" s="35">
        <v>84</v>
      </c>
      <c r="M1363" s="35" t="s">
        <v>375</v>
      </c>
    </row>
    <row r="1364" spans="2:13">
      <c r="B1364" s="64" t="s">
        <v>872</v>
      </c>
      <c r="C1364" s="51"/>
      <c r="D1364" s="35"/>
      <c r="E1364" s="35">
        <v>72</v>
      </c>
      <c r="F1364" s="35">
        <v>8</v>
      </c>
      <c r="G1364" s="35"/>
      <c r="H1364" s="35"/>
      <c r="I1364" s="35" t="s">
        <v>323</v>
      </c>
      <c r="J1364" s="35"/>
      <c r="K1364" s="35"/>
      <c r="L1364" s="35">
        <v>85</v>
      </c>
      <c r="M1364" s="35" t="s">
        <v>379</v>
      </c>
    </row>
    <row r="1365" spans="2:13">
      <c r="B1365" s="64" t="s">
        <v>872</v>
      </c>
      <c r="C1365" s="51"/>
      <c r="D1365" s="35"/>
      <c r="E1365" s="35">
        <v>72</v>
      </c>
      <c r="F1365" s="35">
        <v>8</v>
      </c>
      <c r="G1365" s="35"/>
      <c r="H1365" s="35"/>
      <c r="I1365" s="35" t="s">
        <v>323</v>
      </c>
      <c r="J1365" s="35"/>
      <c r="K1365" s="35"/>
      <c r="L1365" s="35">
        <v>86</v>
      </c>
      <c r="M1365" s="35" t="s">
        <v>376</v>
      </c>
    </row>
    <row r="1366" spans="2:13">
      <c r="B1366" s="64" t="s">
        <v>872</v>
      </c>
      <c r="C1366" s="51"/>
      <c r="D1366" s="35"/>
      <c r="E1366" s="35">
        <v>72</v>
      </c>
      <c r="F1366" s="35">
        <v>8</v>
      </c>
      <c r="G1366" s="35"/>
      <c r="H1366" s="35"/>
      <c r="I1366" s="35" t="s">
        <v>323</v>
      </c>
      <c r="J1366" s="35"/>
      <c r="K1366" s="35"/>
      <c r="L1366" s="35">
        <v>87</v>
      </c>
      <c r="M1366" s="35" t="s">
        <v>380</v>
      </c>
    </row>
    <row r="1367" spans="2:13">
      <c r="B1367" s="64" t="s">
        <v>872</v>
      </c>
      <c r="C1367" s="51"/>
      <c r="D1367" s="35" t="s">
        <v>325</v>
      </c>
      <c r="E1367" s="35">
        <v>80</v>
      </c>
      <c r="F1367" s="35">
        <v>8</v>
      </c>
      <c r="G1367" s="35"/>
      <c r="H1367" s="35"/>
      <c r="I1367" s="35" t="s">
        <v>393</v>
      </c>
      <c r="J1367" s="35"/>
      <c r="K1367" s="35"/>
      <c r="L1367" s="35"/>
      <c r="M1367" s="35"/>
    </row>
    <row r="1368" spans="2:13">
      <c r="B1368" s="64" t="s">
        <v>872</v>
      </c>
      <c r="C1368" s="51"/>
      <c r="D1368" s="35"/>
      <c r="E1368" s="35">
        <v>80</v>
      </c>
      <c r="F1368" s="35">
        <v>8</v>
      </c>
      <c r="G1368" s="35"/>
      <c r="H1368" s="35"/>
      <c r="I1368" s="35" t="s">
        <v>323</v>
      </c>
      <c r="J1368" s="35"/>
      <c r="K1368" s="35"/>
      <c r="L1368" s="35">
        <v>14</v>
      </c>
      <c r="M1368" s="35" t="s">
        <v>326</v>
      </c>
    </row>
    <row r="1369" spans="2:13">
      <c r="B1369" s="64" t="s">
        <v>872</v>
      </c>
      <c r="C1369" s="51"/>
      <c r="D1369" s="35"/>
      <c r="E1369" s="35">
        <v>80</v>
      </c>
      <c r="F1369" s="35">
        <v>8</v>
      </c>
      <c r="G1369" s="35"/>
      <c r="H1369" s="35"/>
      <c r="I1369" s="35" t="s">
        <v>323</v>
      </c>
      <c r="J1369" s="35"/>
      <c r="K1369" s="35"/>
      <c r="L1369" s="35">
        <v>25</v>
      </c>
      <c r="M1369" s="35" t="s">
        <v>327</v>
      </c>
    </row>
    <row r="1370" spans="2:13">
      <c r="B1370" s="64" t="s">
        <v>872</v>
      </c>
      <c r="C1370" s="51"/>
      <c r="D1370" s="35" t="s">
        <v>303</v>
      </c>
      <c r="E1370" s="35">
        <v>88</v>
      </c>
      <c r="F1370" s="35">
        <v>8</v>
      </c>
      <c r="G1370" s="35"/>
      <c r="H1370" s="35"/>
      <c r="I1370" s="35"/>
      <c r="J1370" s="35"/>
      <c r="K1370" s="35"/>
      <c r="L1370" s="35"/>
      <c r="M1370" s="35"/>
    </row>
    <row r="1372" spans="2:13">
      <c r="B1372" t="s">
        <v>873</v>
      </c>
      <c r="C1372" s="51"/>
      <c r="D1372" s="51" t="s">
        <v>328</v>
      </c>
      <c r="E1372" s="35">
        <v>0</v>
      </c>
      <c r="F1372" s="35">
        <v>8</v>
      </c>
      <c r="G1372" s="35"/>
      <c r="H1372" s="35"/>
      <c r="I1372" s="35" t="s">
        <v>393</v>
      </c>
      <c r="J1372" s="35"/>
      <c r="K1372" s="35"/>
      <c r="L1372" s="35"/>
      <c r="M1372" s="35"/>
    </row>
    <row r="1373" spans="2:13">
      <c r="B1373" s="64" t="s">
        <v>873</v>
      </c>
      <c r="C1373" s="51"/>
      <c r="D1373" s="51" t="s">
        <v>329</v>
      </c>
      <c r="E1373" s="35">
        <v>8</v>
      </c>
      <c r="F1373" s="35">
        <v>8</v>
      </c>
      <c r="G1373" s="35"/>
      <c r="H1373" s="35"/>
      <c r="I1373" s="35" t="s">
        <v>393</v>
      </c>
      <c r="J1373" s="35"/>
      <c r="K1373" s="35"/>
      <c r="L1373" s="35"/>
      <c r="M1373" s="35"/>
    </row>
    <row r="1374" spans="2:13">
      <c r="B1374" s="64" t="s">
        <v>873</v>
      </c>
      <c r="C1374" s="51"/>
      <c r="D1374" s="51" t="s">
        <v>330</v>
      </c>
      <c r="E1374" s="35">
        <f t="shared" ref="E1374:E1380" si="9">E1373+F1373</f>
        <v>16</v>
      </c>
      <c r="F1374" s="35">
        <v>8</v>
      </c>
      <c r="G1374" s="35"/>
      <c r="H1374" s="35"/>
      <c r="I1374" s="35" t="s">
        <v>393</v>
      </c>
      <c r="J1374" s="35"/>
      <c r="K1374" s="35"/>
      <c r="L1374" s="35"/>
      <c r="M1374" s="35"/>
    </row>
    <row r="1375" spans="2:13">
      <c r="B1375" s="64" t="s">
        <v>873</v>
      </c>
      <c r="C1375" s="51"/>
      <c r="D1375" s="51" t="s">
        <v>331</v>
      </c>
      <c r="E1375" s="35">
        <f t="shared" si="9"/>
        <v>24</v>
      </c>
      <c r="F1375" s="35">
        <v>8</v>
      </c>
      <c r="G1375" s="35"/>
      <c r="H1375" s="35"/>
      <c r="I1375" s="35" t="s">
        <v>393</v>
      </c>
      <c r="J1375" s="35"/>
      <c r="K1375" s="35"/>
      <c r="L1375" s="35"/>
      <c r="M1375" s="35"/>
    </row>
    <row r="1376" spans="2:13">
      <c r="B1376" s="64" t="s">
        <v>873</v>
      </c>
      <c r="C1376" s="51"/>
      <c r="D1376" s="51" t="s">
        <v>332</v>
      </c>
      <c r="E1376" s="35">
        <f t="shared" si="9"/>
        <v>32</v>
      </c>
      <c r="F1376" s="35">
        <v>8</v>
      </c>
      <c r="G1376" s="35"/>
      <c r="H1376" s="35"/>
      <c r="I1376" s="35" t="s">
        <v>393</v>
      </c>
      <c r="J1376" s="35"/>
      <c r="K1376" s="35"/>
      <c r="L1376" s="35"/>
      <c r="M1376" s="35"/>
    </row>
    <row r="1377" spans="2:13">
      <c r="B1377" s="64" t="s">
        <v>873</v>
      </c>
      <c r="C1377" s="51"/>
      <c r="D1377" s="51" t="s">
        <v>333</v>
      </c>
      <c r="E1377" s="35">
        <f t="shared" si="9"/>
        <v>40</v>
      </c>
      <c r="F1377" s="35">
        <v>8</v>
      </c>
      <c r="G1377" s="35"/>
      <c r="H1377" s="35"/>
      <c r="I1377" s="35" t="s">
        <v>393</v>
      </c>
      <c r="J1377" s="35"/>
      <c r="K1377" s="35"/>
      <c r="L1377" s="35"/>
      <c r="M1377" s="35"/>
    </row>
    <row r="1378" spans="2:13">
      <c r="B1378" s="64" t="s">
        <v>873</v>
      </c>
      <c r="C1378" s="51"/>
      <c r="D1378" s="51" t="s">
        <v>334</v>
      </c>
      <c r="E1378" s="35">
        <f t="shared" si="9"/>
        <v>48</v>
      </c>
      <c r="F1378" s="35">
        <v>8</v>
      </c>
      <c r="G1378" s="35"/>
      <c r="H1378" s="35"/>
      <c r="I1378" s="35" t="s">
        <v>393</v>
      </c>
      <c r="J1378" s="35"/>
      <c r="K1378" s="35"/>
      <c r="L1378" s="35"/>
      <c r="M1378" s="35"/>
    </row>
    <row r="1379" spans="2:13">
      <c r="B1379" s="64" t="s">
        <v>873</v>
      </c>
      <c r="C1379" s="51"/>
      <c r="D1379" s="51" t="s">
        <v>335</v>
      </c>
      <c r="E1379" s="35">
        <f t="shared" si="9"/>
        <v>56</v>
      </c>
      <c r="F1379" s="35">
        <v>4</v>
      </c>
      <c r="G1379" s="35"/>
      <c r="H1379" s="35"/>
      <c r="I1379" s="35" t="s">
        <v>393</v>
      </c>
      <c r="J1379" s="35"/>
      <c r="K1379" s="35"/>
      <c r="L1379" s="35"/>
      <c r="M1379" s="35"/>
    </row>
    <row r="1380" spans="2:13">
      <c r="B1380" s="64" t="s">
        <v>873</v>
      </c>
      <c r="C1380" s="51"/>
      <c r="D1380" s="51" t="s">
        <v>336</v>
      </c>
      <c r="E1380" s="35">
        <f t="shared" si="9"/>
        <v>60</v>
      </c>
      <c r="F1380" s="35">
        <v>4</v>
      </c>
      <c r="G1380" s="35"/>
      <c r="H1380" s="35"/>
      <c r="I1380" s="35" t="s">
        <v>393</v>
      </c>
      <c r="J1380" s="35"/>
      <c r="K1380" s="35"/>
      <c r="L1380" s="35"/>
      <c r="M1380" s="35"/>
    </row>
    <row r="1381" spans="2:13">
      <c r="B1381" s="64" t="s">
        <v>873</v>
      </c>
      <c r="C1381" s="51"/>
      <c r="D1381" s="35" t="s">
        <v>303</v>
      </c>
      <c r="E1381" s="35">
        <v>64</v>
      </c>
      <c r="F1381" s="35">
        <v>8</v>
      </c>
      <c r="G1381" s="35"/>
      <c r="H1381" s="35"/>
      <c r="I1381" s="35" t="s">
        <v>393</v>
      </c>
      <c r="J1381" s="35"/>
      <c r="K1381" s="35"/>
      <c r="L1381" s="35"/>
      <c r="M1381" s="35"/>
    </row>
    <row r="1382" spans="2:13">
      <c r="B1382" s="64" t="s">
        <v>873</v>
      </c>
      <c r="C1382" s="51"/>
      <c r="D1382" s="50" t="s">
        <v>324</v>
      </c>
      <c r="E1382" s="35">
        <v>72</v>
      </c>
      <c r="F1382" s="35">
        <v>8</v>
      </c>
      <c r="G1382" s="35"/>
      <c r="H1382" s="35"/>
      <c r="I1382" s="35" t="s">
        <v>393</v>
      </c>
      <c r="J1382" s="35"/>
      <c r="K1382" s="35"/>
      <c r="L1382" s="35"/>
      <c r="M1382" s="35"/>
    </row>
    <row r="1383" spans="2:13">
      <c r="B1383" s="64" t="s">
        <v>873</v>
      </c>
      <c r="C1383" s="51"/>
      <c r="D1383" s="35"/>
      <c r="E1383" s="35">
        <v>72</v>
      </c>
      <c r="F1383" s="35">
        <v>8</v>
      </c>
      <c r="G1383" s="35"/>
      <c r="H1383" s="35"/>
      <c r="I1383" s="35" t="s">
        <v>323</v>
      </c>
      <c r="J1383" s="35"/>
      <c r="K1383" s="35"/>
      <c r="L1383" s="35">
        <v>1</v>
      </c>
      <c r="M1383" s="51" t="s">
        <v>304</v>
      </c>
    </row>
    <row r="1384" spans="2:13">
      <c r="B1384" s="64" t="s">
        <v>873</v>
      </c>
      <c r="C1384" s="51"/>
      <c r="D1384" s="35"/>
      <c r="E1384" s="35">
        <v>72</v>
      </c>
      <c r="F1384" s="35">
        <v>8</v>
      </c>
      <c r="G1384" s="35"/>
      <c r="H1384" s="35"/>
      <c r="I1384" s="35" t="s">
        <v>323</v>
      </c>
      <c r="J1384" s="35"/>
      <c r="K1384" s="35"/>
      <c r="L1384" s="35">
        <v>2</v>
      </c>
      <c r="M1384" s="35" t="s">
        <v>305</v>
      </c>
    </row>
    <row r="1385" spans="2:13">
      <c r="B1385" s="64" t="s">
        <v>873</v>
      </c>
      <c r="C1385" s="51"/>
      <c r="D1385" s="35"/>
      <c r="E1385" s="35">
        <v>72</v>
      </c>
      <c r="F1385" s="35">
        <v>8</v>
      </c>
      <c r="G1385" s="35"/>
      <c r="H1385" s="35"/>
      <c r="I1385" s="35" t="s">
        <v>323</v>
      </c>
      <c r="J1385" s="35"/>
      <c r="K1385" s="35"/>
      <c r="L1385" s="35">
        <v>3</v>
      </c>
      <c r="M1385" s="35" t="s">
        <v>306</v>
      </c>
    </row>
    <row r="1386" spans="2:13">
      <c r="B1386" s="64" t="s">
        <v>873</v>
      </c>
      <c r="C1386" s="51"/>
      <c r="D1386" s="35"/>
      <c r="E1386" s="35">
        <v>72</v>
      </c>
      <c r="F1386" s="35">
        <v>8</v>
      </c>
      <c r="G1386" s="35"/>
      <c r="H1386" s="35"/>
      <c r="I1386" s="35" t="s">
        <v>323</v>
      </c>
      <c r="J1386" s="35"/>
      <c r="K1386" s="35"/>
      <c r="L1386" s="35">
        <v>4</v>
      </c>
      <c r="M1386" s="35" t="s">
        <v>307</v>
      </c>
    </row>
    <row r="1387" spans="2:13">
      <c r="B1387" s="64" t="s">
        <v>873</v>
      </c>
      <c r="C1387" s="51"/>
      <c r="D1387" s="35"/>
      <c r="E1387" s="35">
        <v>72</v>
      </c>
      <c r="F1387" s="35">
        <v>8</v>
      </c>
      <c r="G1387" s="35"/>
      <c r="H1387" s="35"/>
      <c r="I1387" s="35" t="s">
        <v>323</v>
      </c>
      <c r="J1387" s="35"/>
      <c r="K1387" s="35"/>
      <c r="L1387" s="35">
        <v>5</v>
      </c>
      <c r="M1387" s="35" t="s">
        <v>308</v>
      </c>
    </row>
    <row r="1388" spans="2:13">
      <c r="B1388" s="64" t="s">
        <v>873</v>
      </c>
      <c r="C1388" s="51"/>
      <c r="D1388" s="35"/>
      <c r="E1388" s="35">
        <v>72</v>
      </c>
      <c r="F1388" s="35">
        <v>8</v>
      </c>
      <c r="G1388" s="35"/>
      <c r="H1388" s="35"/>
      <c r="I1388" s="35" t="s">
        <v>323</v>
      </c>
      <c r="J1388" s="35"/>
      <c r="K1388" s="35"/>
      <c r="L1388" s="35">
        <v>6</v>
      </c>
      <c r="M1388" s="35" t="s">
        <v>309</v>
      </c>
    </row>
    <row r="1389" spans="2:13">
      <c r="B1389" s="64" t="s">
        <v>873</v>
      </c>
      <c r="C1389" s="51"/>
      <c r="D1389" s="35"/>
      <c r="E1389" s="35">
        <v>72</v>
      </c>
      <c r="F1389" s="35">
        <v>8</v>
      </c>
      <c r="G1389" s="35"/>
      <c r="H1389" s="35"/>
      <c r="I1389" s="35" t="s">
        <v>323</v>
      </c>
      <c r="J1389" s="35"/>
      <c r="K1389" s="35"/>
      <c r="L1389" s="35">
        <v>7</v>
      </c>
      <c r="M1389" s="35" t="s">
        <v>310</v>
      </c>
    </row>
    <row r="1390" spans="2:13">
      <c r="B1390" s="64" t="s">
        <v>873</v>
      </c>
      <c r="C1390" s="51"/>
      <c r="D1390" s="35"/>
      <c r="E1390" s="35">
        <v>72</v>
      </c>
      <c r="F1390" s="35">
        <v>8</v>
      </c>
      <c r="G1390" s="35"/>
      <c r="H1390" s="35"/>
      <c r="I1390" s="35" t="s">
        <v>323</v>
      </c>
      <c r="J1390" s="35"/>
      <c r="K1390" s="35"/>
      <c r="L1390" s="35">
        <v>8</v>
      </c>
      <c r="M1390" s="35" t="s">
        <v>311</v>
      </c>
    </row>
    <row r="1391" spans="2:13">
      <c r="B1391" s="64" t="s">
        <v>873</v>
      </c>
      <c r="C1391" s="51"/>
      <c r="D1391" s="35"/>
      <c r="E1391" s="35">
        <v>72</v>
      </c>
      <c r="F1391" s="35">
        <v>8</v>
      </c>
      <c r="G1391" s="35"/>
      <c r="H1391" s="35"/>
      <c r="I1391" s="35" t="s">
        <v>323</v>
      </c>
      <c r="J1391" s="35"/>
      <c r="K1391" s="35"/>
      <c r="L1391" s="35">
        <v>20</v>
      </c>
      <c r="M1391" s="35" t="s">
        <v>312</v>
      </c>
    </row>
    <row r="1392" spans="2:13">
      <c r="B1392" s="64" t="s">
        <v>873</v>
      </c>
      <c r="C1392" s="51"/>
      <c r="D1392" s="35"/>
      <c r="E1392" s="35">
        <v>72</v>
      </c>
      <c r="F1392" s="35">
        <v>8</v>
      </c>
      <c r="G1392" s="35"/>
      <c r="H1392" s="35"/>
      <c r="I1392" s="35" t="s">
        <v>323</v>
      </c>
      <c r="J1392" s="35"/>
      <c r="K1392" s="35"/>
      <c r="L1392" s="35">
        <v>21</v>
      </c>
      <c r="M1392" s="35" t="s">
        <v>313</v>
      </c>
    </row>
    <row r="1393" spans="2:13">
      <c r="B1393" s="64" t="s">
        <v>873</v>
      </c>
      <c r="C1393" s="51"/>
      <c r="D1393" s="35"/>
      <c r="E1393" s="35">
        <v>72</v>
      </c>
      <c r="F1393" s="35">
        <v>8</v>
      </c>
      <c r="G1393" s="35"/>
      <c r="H1393" s="35"/>
      <c r="I1393" s="35" t="s">
        <v>323</v>
      </c>
      <c r="J1393" s="35"/>
      <c r="K1393" s="35"/>
      <c r="L1393" s="35">
        <v>22</v>
      </c>
      <c r="M1393" s="35" t="s">
        <v>314</v>
      </c>
    </row>
    <row r="1394" spans="2:13">
      <c r="B1394" s="64" t="s">
        <v>873</v>
      </c>
      <c r="C1394" s="51"/>
      <c r="D1394" s="35"/>
      <c r="E1394" s="35">
        <v>72</v>
      </c>
      <c r="F1394" s="35">
        <v>8</v>
      </c>
      <c r="G1394" s="35"/>
      <c r="H1394" s="35"/>
      <c r="I1394" s="35" t="s">
        <v>323</v>
      </c>
      <c r="J1394" s="35"/>
      <c r="K1394" s="35"/>
      <c r="L1394" s="35">
        <v>23</v>
      </c>
      <c r="M1394" s="35" t="s">
        <v>315</v>
      </c>
    </row>
    <row r="1395" spans="2:13">
      <c r="B1395" s="64" t="s">
        <v>873</v>
      </c>
      <c r="C1395" s="51"/>
      <c r="D1395" s="35"/>
      <c r="E1395" s="35">
        <v>72</v>
      </c>
      <c r="F1395" s="35">
        <v>8</v>
      </c>
      <c r="G1395" s="35"/>
      <c r="H1395" s="35"/>
      <c r="I1395" s="35" t="s">
        <v>323</v>
      </c>
      <c r="J1395" s="35"/>
      <c r="K1395" s="35"/>
      <c r="L1395" s="35">
        <v>24</v>
      </c>
      <c r="M1395" s="35" t="s">
        <v>316</v>
      </c>
    </row>
    <row r="1396" spans="2:13">
      <c r="B1396" s="64" t="s">
        <v>873</v>
      </c>
      <c r="C1396" s="51"/>
      <c r="D1396" s="35"/>
      <c r="E1396" s="35">
        <v>72</v>
      </c>
      <c r="F1396" s="35">
        <v>8</v>
      </c>
      <c r="G1396" s="35"/>
      <c r="H1396" s="35"/>
      <c r="I1396" s="35" t="s">
        <v>323</v>
      </c>
      <c r="J1396" s="35"/>
      <c r="K1396" s="35"/>
      <c r="L1396" s="35">
        <v>25</v>
      </c>
      <c r="M1396" s="35" t="s">
        <v>317</v>
      </c>
    </row>
    <row r="1397" spans="2:13">
      <c r="B1397" s="64" t="s">
        <v>873</v>
      </c>
      <c r="C1397" s="51"/>
      <c r="D1397" s="35"/>
      <c r="E1397" s="35">
        <v>72</v>
      </c>
      <c r="F1397" s="35">
        <v>8</v>
      </c>
      <c r="G1397" s="35"/>
      <c r="H1397" s="35"/>
      <c r="I1397" s="35" t="s">
        <v>323</v>
      </c>
      <c r="J1397" s="35"/>
      <c r="K1397" s="35"/>
      <c r="L1397" s="35">
        <v>26</v>
      </c>
      <c r="M1397" s="35" t="s">
        <v>318</v>
      </c>
    </row>
    <row r="1398" spans="2:13">
      <c r="B1398" s="64" t="s">
        <v>873</v>
      </c>
      <c r="C1398" s="51"/>
      <c r="D1398" s="35"/>
      <c r="E1398" s="35">
        <v>72</v>
      </c>
      <c r="F1398" s="35">
        <v>8</v>
      </c>
      <c r="G1398" s="35"/>
      <c r="H1398" s="35"/>
      <c r="I1398" s="35" t="s">
        <v>323</v>
      </c>
      <c r="J1398" s="35"/>
      <c r="K1398" s="35"/>
      <c r="L1398" s="35">
        <v>27</v>
      </c>
      <c r="M1398" s="35" t="s">
        <v>319</v>
      </c>
    </row>
    <row r="1399" spans="2:13">
      <c r="B1399" s="64" t="s">
        <v>873</v>
      </c>
      <c r="C1399" s="51"/>
      <c r="D1399" s="35"/>
      <c r="E1399" s="35">
        <v>72</v>
      </c>
      <c r="F1399" s="35">
        <v>8</v>
      </c>
      <c r="G1399" s="35"/>
      <c r="H1399" s="35"/>
      <c r="I1399" s="35" t="s">
        <v>323</v>
      </c>
      <c r="J1399" s="35"/>
      <c r="K1399" s="35"/>
      <c r="L1399" s="35">
        <v>28</v>
      </c>
      <c r="M1399" s="35" t="s">
        <v>320</v>
      </c>
    </row>
    <row r="1400" spans="2:13">
      <c r="B1400" s="64" t="s">
        <v>873</v>
      </c>
      <c r="C1400" s="51"/>
      <c r="D1400" s="35"/>
      <c r="E1400" s="35">
        <v>72</v>
      </c>
      <c r="F1400" s="35">
        <v>8</v>
      </c>
      <c r="G1400" s="35"/>
      <c r="H1400" s="35"/>
      <c r="I1400" s="35" t="s">
        <v>323</v>
      </c>
      <c r="J1400" s="35"/>
      <c r="K1400" s="35"/>
      <c r="L1400" s="35">
        <v>29</v>
      </c>
      <c r="M1400" s="35" t="s">
        <v>321</v>
      </c>
    </row>
    <row r="1401" spans="2:13">
      <c r="B1401" s="64" t="s">
        <v>873</v>
      </c>
      <c r="C1401" s="51"/>
      <c r="D1401" s="35"/>
      <c r="E1401" s="35">
        <v>72</v>
      </c>
      <c r="F1401" s="35">
        <v>8</v>
      </c>
      <c r="G1401" s="35"/>
      <c r="H1401" s="35"/>
      <c r="I1401" s="35" t="s">
        <v>323</v>
      </c>
      <c r="J1401" s="35"/>
      <c r="K1401" s="35"/>
      <c r="L1401" s="35">
        <v>30</v>
      </c>
      <c r="M1401" s="35" t="s">
        <v>322</v>
      </c>
    </row>
    <row r="1402" spans="2:13">
      <c r="B1402" s="64" t="s">
        <v>873</v>
      </c>
      <c r="C1402" s="51"/>
      <c r="D1402" s="35" t="s">
        <v>325</v>
      </c>
      <c r="E1402" s="35">
        <v>80</v>
      </c>
      <c r="F1402" s="35">
        <v>8</v>
      </c>
      <c r="G1402" s="35"/>
      <c r="H1402" s="35"/>
      <c r="I1402" s="35" t="s">
        <v>910</v>
      </c>
      <c r="J1402" s="35"/>
      <c r="K1402" s="35"/>
      <c r="L1402" s="35"/>
      <c r="M1402" s="35"/>
    </row>
    <row r="1403" spans="2:13">
      <c r="B1403" s="64" t="s">
        <v>873</v>
      </c>
      <c r="C1403" s="51"/>
      <c r="D1403" s="35"/>
      <c r="E1403" s="35">
        <v>80</v>
      </c>
      <c r="F1403" s="35">
        <v>8</v>
      </c>
      <c r="G1403" s="35"/>
      <c r="H1403" s="35"/>
      <c r="I1403" s="35" t="s">
        <v>323</v>
      </c>
      <c r="J1403" s="35"/>
      <c r="K1403" s="35"/>
      <c r="L1403" s="35">
        <v>14</v>
      </c>
      <c r="M1403" s="35" t="s">
        <v>326</v>
      </c>
    </row>
    <row r="1404" spans="2:13">
      <c r="B1404" s="64" t="s">
        <v>873</v>
      </c>
      <c r="C1404" s="51"/>
      <c r="D1404" s="35"/>
      <c r="E1404" s="35">
        <v>80</v>
      </c>
      <c r="F1404" s="35">
        <v>8</v>
      </c>
      <c r="G1404" s="35"/>
      <c r="H1404" s="35"/>
      <c r="I1404" s="35" t="s">
        <v>323</v>
      </c>
      <c r="J1404" s="35"/>
      <c r="K1404" s="35"/>
      <c r="L1404" s="35">
        <v>25</v>
      </c>
      <c r="M1404" s="35" t="s">
        <v>327</v>
      </c>
    </row>
    <row r="1405" spans="2:13">
      <c r="B1405" s="64" t="s">
        <v>873</v>
      </c>
      <c r="C1405" s="51"/>
      <c r="D1405" s="35" t="s">
        <v>303</v>
      </c>
      <c r="E1405" s="35">
        <v>88</v>
      </c>
      <c r="F1405" s="35">
        <v>8</v>
      </c>
      <c r="G1405" s="35"/>
      <c r="H1405" s="35"/>
      <c r="I1405" s="35" t="s">
        <v>393</v>
      </c>
      <c r="J1405" s="35"/>
      <c r="K1405" s="35"/>
      <c r="L1405" s="35"/>
      <c r="M1405" s="35"/>
    </row>
    <row r="1407" spans="2:13">
      <c r="B1407" s="35" t="s">
        <v>337</v>
      </c>
      <c r="C1407" s="51"/>
      <c r="D1407" s="51" t="s">
        <v>328</v>
      </c>
      <c r="E1407" s="35">
        <v>0</v>
      </c>
      <c r="F1407" s="35">
        <v>8</v>
      </c>
      <c r="G1407" s="35"/>
      <c r="H1407" s="35"/>
      <c r="I1407" s="35" t="s">
        <v>393</v>
      </c>
      <c r="J1407" s="35"/>
      <c r="K1407" s="35"/>
      <c r="L1407" s="35"/>
      <c r="M1407" s="35"/>
    </row>
    <row r="1408" spans="2:13">
      <c r="B1408" s="35" t="s">
        <v>337</v>
      </c>
      <c r="C1408" s="51"/>
      <c r="D1408" s="51" t="s">
        <v>329</v>
      </c>
      <c r="E1408" s="35">
        <v>8</v>
      </c>
      <c r="F1408" s="35">
        <v>8</v>
      </c>
      <c r="G1408" s="35"/>
      <c r="H1408" s="35"/>
      <c r="I1408" s="35" t="s">
        <v>393</v>
      </c>
      <c r="J1408" s="35"/>
      <c r="K1408" s="35"/>
      <c r="L1408" s="35"/>
      <c r="M1408" s="35"/>
    </row>
    <row r="1409" spans="2:13">
      <c r="B1409" s="35" t="s">
        <v>337</v>
      </c>
      <c r="C1409" s="51"/>
      <c r="D1409" s="51" t="s">
        <v>330</v>
      </c>
      <c r="E1409" s="35">
        <f t="shared" ref="E1409:E1415" si="10">E1408+F1408</f>
        <v>16</v>
      </c>
      <c r="F1409" s="35">
        <v>8</v>
      </c>
      <c r="G1409" s="35"/>
      <c r="H1409" s="35"/>
      <c r="I1409" s="35" t="s">
        <v>393</v>
      </c>
      <c r="J1409" s="35"/>
      <c r="K1409" s="35"/>
      <c r="L1409" s="35"/>
      <c r="M1409" s="35"/>
    </row>
    <row r="1410" spans="2:13">
      <c r="B1410" s="35" t="s">
        <v>337</v>
      </c>
      <c r="C1410" s="51"/>
      <c r="D1410" s="51" t="s">
        <v>331</v>
      </c>
      <c r="E1410" s="35">
        <f t="shared" si="10"/>
        <v>24</v>
      </c>
      <c r="F1410" s="35">
        <v>8</v>
      </c>
      <c r="G1410" s="35"/>
      <c r="H1410" s="35"/>
      <c r="I1410" s="35" t="s">
        <v>393</v>
      </c>
      <c r="J1410" s="35"/>
      <c r="K1410" s="35"/>
      <c r="L1410" s="35"/>
      <c r="M1410" s="35"/>
    </row>
    <row r="1411" spans="2:13">
      <c r="B1411" s="35" t="s">
        <v>337</v>
      </c>
      <c r="C1411" s="51"/>
      <c r="D1411" s="51" t="s">
        <v>332</v>
      </c>
      <c r="E1411" s="35">
        <f t="shared" si="10"/>
        <v>32</v>
      </c>
      <c r="F1411" s="35">
        <v>8</v>
      </c>
      <c r="G1411" s="35"/>
      <c r="H1411" s="35"/>
      <c r="I1411" s="35" t="s">
        <v>393</v>
      </c>
      <c r="J1411" s="35"/>
      <c r="K1411" s="35"/>
      <c r="L1411" s="35"/>
      <c r="M1411" s="35"/>
    </row>
    <row r="1412" spans="2:13">
      <c r="B1412" s="35" t="s">
        <v>337</v>
      </c>
      <c r="C1412" s="51"/>
      <c r="D1412" s="51" t="s">
        <v>333</v>
      </c>
      <c r="E1412" s="35">
        <f t="shared" si="10"/>
        <v>40</v>
      </c>
      <c r="F1412" s="35">
        <v>8</v>
      </c>
      <c r="G1412" s="35"/>
      <c r="H1412" s="35"/>
      <c r="I1412" s="35" t="s">
        <v>393</v>
      </c>
      <c r="J1412" s="35"/>
      <c r="K1412" s="35"/>
      <c r="L1412" s="35"/>
      <c r="M1412" s="35"/>
    </row>
    <row r="1413" spans="2:13">
      <c r="B1413" s="35" t="s">
        <v>337</v>
      </c>
      <c r="C1413" s="51"/>
      <c r="D1413" s="51" t="s">
        <v>334</v>
      </c>
      <c r="E1413" s="35">
        <f t="shared" si="10"/>
        <v>48</v>
      </c>
      <c r="F1413" s="35">
        <v>8</v>
      </c>
      <c r="G1413" s="35"/>
      <c r="H1413" s="35"/>
      <c r="I1413" s="35" t="s">
        <v>393</v>
      </c>
      <c r="J1413" s="35"/>
      <c r="K1413" s="35"/>
      <c r="L1413" s="35"/>
      <c r="M1413" s="35"/>
    </row>
    <row r="1414" spans="2:13">
      <c r="B1414" s="35" t="s">
        <v>337</v>
      </c>
      <c r="C1414" s="51"/>
      <c r="D1414" s="51" t="s">
        <v>335</v>
      </c>
      <c r="E1414" s="35">
        <f t="shared" si="10"/>
        <v>56</v>
      </c>
      <c r="F1414" s="35">
        <v>4</v>
      </c>
      <c r="G1414" s="35"/>
      <c r="H1414" s="35"/>
      <c r="I1414" s="35" t="s">
        <v>393</v>
      </c>
      <c r="J1414" s="35"/>
      <c r="K1414" s="35"/>
      <c r="L1414" s="35"/>
      <c r="M1414" s="35"/>
    </row>
    <row r="1415" spans="2:13">
      <c r="B1415" s="35" t="s">
        <v>337</v>
      </c>
      <c r="C1415" s="51"/>
      <c r="D1415" s="51" t="s">
        <v>336</v>
      </c>
      <c r="E1415" s="35">
        <f t="shared" si="10"/>
        <v>60</v>
      </c>
      <c r="F1415" s="35">
        <v>4</v>
      </c>
      <c r="G1415" s="35"/>
      <c r="H1415" s="35"/>
      <c r="I1415" s="35" t="s">
        <v>393</v>
      </c>
      <c r="J1415" s="35"/>
      <c r="K1415" s="35"/>
      <c r="L1415" s="35"/>
      <c r="M1415" s="35"/>
    </row>
    <row r="1417" spans="2:13">
      <c r="B1417" s="57" t="s">
        <v>540</v>
      </c>
      <c r="E1417" s="34">
        <v>0</v>
      </c>
      <c r="F1417" s="34">
        <v>8</v>
      </c>
      <c r="I1417" s="34" t="s">
        <v>541</v>
      </c>
    </row>
    <row r="1418" spans="2:13">
      <c r="B1418" s="57" t="s">
        <v>540</v>
      </c>
      <c r="E1418" s="34">
        <v>8</v>
      </c>
      <c r="F1418" s="34">
        <v>8</v>
      </c>
      <c r="I1418" s="34" t="s">
        <v>542</v>
      </c>
    </row>
    <row r="1419" spans="2:13">
      <c r="B1419" s="34" t="s">
        <v>541</v>
      </c>
      <c r="D1419" s="34" t="s">
        <v>416</v>
      </c>
      <c r="E1419" s="34">
        <v>0</v>
      </c>
      <c r="F1419" s="34">
        <v>1</v>
      </c>
      <c r="I1419" s="34" t="s">
        <v>393</v>
      </c>
    </row>
    <row r="1420" spans="2:13">
      <c r="B1420" s="34" t="s">
        <v>541</v>
      </c>
      <c r="D1420" s="34" t="s">
        <v>417</v>
      </c>
      <c r="E1420" s="34">
        <v>1</v>
      </c>
      <c r="F1420" s="34">
        <v>1</v>
      </c>
      <c r="I1420" s="34" t="s">
        <v>393</v>
      </c>
    </row>
    <row r="1421" spans="2:13">
      <c r="B1421" s="34" t="s">
        <v>541</v>
      </c>
      <c r="D1421" s="34" t="s">
        <v>418</v>
      </c>
      <c r="E1421" s="34">
        <v>2</v>
      </c>
      <c r="F1421" s="34">
        <v>1</v>
      </c>
      <c r="I1421" s="34" t="s">
        <v>393</v>
      </c>
    </row>
    <row r="1422" spans="2:13">
      <c r="B1422" s="34" t="s">
        <v>541</v>
      </c>
      <c r="D1422" s="34" t="s">
        <v>419</v>
      </c>
      <c r="E1422" s="34">
        <v>3</v>
      </c>
      <c r="F1422" s="34">
        <v>1</v>
      </c>
      <c r="I1422" s="34" t="s">
        <v>393</v>
      </c>
    </row>
    <row r="1423" spans="2:13">
      <c r="C1423" s="41"/>
    </row>
    <row r="1424" spans="2:13">
      <c r="B1424" s="34" t="s">
        <v>542</v>
      </c>
      <c r="C1424" s="41"/>
      <c r="D1424" s="34" t="s">
        <v>550</v>
      </c>
      <c r="E1424" s="34">
        <v>0</v>
      </c>
      <c r="F1424" s="34">
        <v>8</v>
      </c>
      <c r="I1424" s="35" t="s">
        <v>393</v>
      </c>
    </row>
    <row r="1425" spans="2:13">
      <c r="B1425" s="34" t="s">
        <v>542</v>
      </c>
      <c r="E1425" s="34">
        <v>0</v>
      </c>
      <c r="F1425" s="34">
        <v>8</v>
      </c>
      <c r="I1425" s="35" t="s">
        <v>323</v>
      </c>
      <c r="L1425" s="34">
        <v>0</v>
      </c>
      <c r="M1425" s="34" t="s">
        <v>543</v>
      </c>
    </row>
    <row r="1426" spans="2:13">
      <c r="B1426" s="34" t="s">
        <v>542</v>
      </c>
      <c r="E1426" s="34">
        <v>0</v>
      </c>
      <c r="F1426" s="34">
        <v>8</v>
      </c>
      <c r="I1426" s="35" t="s">
        <v>323</v>
      </c>
      <c r="L1426" s="34">
        <v>1</v>
      </c>
      <c r="M1426" s="34" t="s">
        <v>544</v>
      </c>
    </row>
    <row r="1427" spans="2:13">
      <c r="B1427" s="34" t="s">
        <v>542</v>
      </c>
      <c r="E1427" s="34">
        <v>0</v>
      </c>
      <c r="F1427" s="34">
        <v>8</v>
      </c>
      <c r="I1427" s="35" t="s">
        <v>323</v>
      </c>
      <c r="L1427" s="34">
        <v>2</v>
      </c>
      <c r="M1427" s="34" t="s">
        <v>545</v>
      </c>
    </row>
    <row r="1428" spans="2:13">
      <c r="B1428" s="34" t="s">
        <v>542</v>
      </c>
      <c r="E1428" s="34">
        <v>0</v>
      </c>
      <c r="F1428" s="34">
        <v>8</v>
      </c>
      <c r="I1428" s="35" t="s">
        <v>323</v>
      </c>
      <c r="L1428" s="34">
        <v>3</v>
      </c>
      <c r="M1428" s="34" t="s">
        <v>546</v>
      </c>
    </row>
    <row r="1429" spans="2:13">
      <c r="B1429" s="34" t="s">
        <v>542</v>
      </c>
      <c r="E1429" s="34">
        <v>0</v>
      </c>
      <c r="F1429" s="34">
        <v>8</v>
      </c>
      <c r="I1429" s="35" t="s">
        <v>323</v>
      </c>
      <c r="L1429" s="34">
        <v>4</v>
      </c>
      <c r="M1429" s="34" t="s">
        <v>547</v>
      </c>
    </row>
    <row r="1430" spans="2:13">
      <c r="B1430" s="34" t="s">
        <v>542</v>
      </c>
      <c r="E1430" s="34">
        <v>0</v>
      </c>
      <c r="F1430" s="34">
        <v>8</v>
      </c>
      <c r="I1430" s="35" t="s">
        <v>323</v>
      </c>
      <c r="L1430" s="34">
        <v>5</v>
      </c>
      <c r="M1430" s="34" t="s">
        <v>548</v>
      </c>
    </row>
    <row r="1431" spans="2:13">
      <c r="B1431" s="34" t="s">
        <v>542</v>
      </c>
      <c r="E1431" s="34">
        <v>0</v>
      </c>
      <c r="F1431" s="34">
        <v>8</v>
      </c>
      <c r="I1431" s="35" t="s">
        <v>323</v>
      </c>
      <c r="L1431" s="34">
        <v>6</v>
      </c>
      <c r="M1431" s="34" t="s">
        <v>549</v>
      </c>
    </row>
    <row r="1433" spans="2:13">
      <c r="B1433" s="34" t="s">
        <v>551</v>
      </c>
      <c r="D1433" s="34" t="s">
        <v>554</v>
      </c>
      <c r="E1433" s="34">
        <v>0</v>
      </c>
      <c r="F1433" s="34">
        <v>8</v>
      </c>
      <c r="I1433" s="35" t="s">
        <v>393</v>
      </c>
    </row>
    <row r="1434" spans="2:13">
      <c r="B1434" s="34" t="s">
        <v>551</v>
      </c>
      <c r="E1434" s="34">
        <v>0</v>
      </c>
      <c r="F1434" s="34">
        <v>8</v>
      </c>
      <c r="I1434" s="35" t="s">
        <v>323</v>
      </c>
      <c r="L1434" s="34">
        <v>0</v>
      </c>
      <c r="M1434" s="34" t="s">
        <v>552</v>
      </c>
    </row>
    <row r="1435" spans="2:13">
      <c r="B1435" s="34" t="s">
        <v>551</v>
      </c>
      <c r="E1435" s="34">
        <v>0</v>
      </c>
      <c r="F1435" s="34">
        <v>8</v>
      </c>
      <c r="I1435" s="35" t="s">
        <v>323</v>
      </c>
      <c r="L1435" s="34">
        <v>1</v>
      </c>
      <c r="M1435" s="34" t="s">
        <v>553</v>
      </c>
    </row>
    <row r="1437" spans="2:13">
      <c r="B1437" s="34" t="s">
        <v>555</v>
      </c>
      <c r="D1437" s="34" t="s">
        <v>556</v>
      </c>
      <c r="E1437" s="34">
        <v>0</v>
      </c>
      <c r="F1437" s="34">
        <v>8</v>
      </c>
      <c r="I1437" s="35" t="s">
        <v>393</v>
      </c>
    </row>
    <row r="1438" spans="2:13">
      <c r="B1438" s="34" t="s">
        <v>555</v>
      </c>
      <c r="E1438" s="34">
        <v>0</v>
      </c>
      <c r="F1438" s="34">
        <v>8</v>
      </c>
      <c r="I1438" s="35" t="s">
        <v>323</v>
      </c>
      <c r="L1438" s="34">
        <v>0</v>
      </c>
      <c r="M1438" s="34" t="s">
        <v>557</v>
      </c>
    </row>
    <row r="1439" spans="2:13">
      <c r="B1439" s="34" t="s">
        <v>555</v>
      </c>
      <c r="E1439" s="34">
        <v>0</v>
      </c>
      <c r="F1439" s="34">
        <v>8</v>
      </c>
      <c r="I1439" s="35" t="s">
        <v>323</v>
      </c>
      <c r="L1439" s="34">
        <v>1</v>
      </c>
      <c r="M1439" s="34" t="s">
        <v>558</v>
      </c>
    </row>
    <row r="1441" spans="2:13">
      <c r="B1441" s="34" t="s">
        <v>559</v>
      </c>
      <c r="D1441" s="34" t="s">
        <v>560</v>
      </c>
      <c r="E1441" s="34">
        <v>0</v>
      </c>
      <c r="F1441" s="34">
        <v>8</v>
      </c>
      <c r="I1441" s="35" t="s">
        <v>393</v>
      </c>
    </row>
    <row r="1442" spans="2:13">
      <c r="B1442" s="34" t="s">
        <v>559</v>
      </c>
      <c r="E1442" s="34">
        <v>0</v>
      </c>
      <c r="F1442" s="34">
        <v>8</v>
      </c>
      <c r="I1442" s="35" t="s">
        <v>323</v>
      </c>
      <c r="L1442" s="34">
        <v>0</v>
      </c>
      <c r="M1442" s="34" t="s">
        <v>561</v>
      </c>
    </row>
    <row r="1443" spans="2:13">
      <c r="B1443" s="34" t="s">
        <v>559</v>
      </c>
      <c r="E1443" s="34">
        <v>0</v>
      </c>
      <c r="F1443" s="34">
        <v>8</v>
      </c>
      <c r="I1443" s="35" t="s">
        <v>323</v>
      </c>
      <c r="L1443" s="34">
        <v>1</v>
      </c>
      <c r="M1443" s="34" t="s">
        <v>562</v>
      </c>
    </row>
    <row r="1445" spans="2:13">
      <c r="B1445" s="34" t="s">
        <v>563</v>
      </c>
      <c r="D1445" s="34" t="s">
        <v>564</v>
      </c>
      <c r="E1445" s="34">
        <v>0</v>
      </c>
      <c r="F1445" s="34">
        <v>8</v>
      </c>
      <c r="I1445" s="35" t="s">
        <v>393</v>
      </c>
    </row>
    <row r="1446" spans="2:13">
      <c r="B1446" s="34" t="s">
        <v>563</v>
      </c>
      <c r="E1446" s="34">
        <v>0</v>
      </c>
      <c r="F1446" s="34">
        <v>8</v>
      </c>
      <c r="I1446" s="35" t="s">
        <v>323</v>
      </c>
      <c r="L1446" s="34">
        <v>0</v>
      </c>
      <c r="M1446" s="34" t="s">
        <v>565</v>
      </c>
    </row>
    <row r="1447" spans="2:13">
      <c r="B1447" s="34" t="s">
        <v>563</v>
      </c>
      <c r="E1447" s="34">
        <v>0</v>
      </c>
      <c r="F1447" s="34">
        <v>8</v>
      </c>
      <c r="I1447" s="35" t="s">
        <v>323</v>
      </c>
      <c r="L1447" s="34">
        <v>1</v>
      </c>
      <c r="M1447" s="34" t="s">
        <v>566</v>
      </c>
    </row>
    <row r="1449" spans="2:13">
      <c r="B1449" s="34" t="s">
        <v>567</v>
      </c>
      <c r="D1449" s="34" t="s">
        <v>568</v>
      </c>
      <c r="E1449" s="34">
        <v>0</v>
      </c>
      <c r="F1449" s="34">
        <v>8</v>
      </c>
      <c r="I1449" s="35" t="s">
        <v>393</v>
      </c>
    </row>
    <row r="1450" spans="2:13">
      <c r="B1450" s="34" t="s">
        <v>567</v>
      </c>
      <c r="E1450" s="34">
        <v>0</v>
      </c>
      <c r="F1450" s="34">
        <v>8</v>
      </c>
      <c r="I1450" s="35" t="s">
        <v>323</v>
      </c>
      <c r="L1450" s="34">
        <v>0</v>
      </c>
      <c r="M1450" s="34" t="s">
        <v>569</v>
      </c>
    </row>
    <row r="1451" spans="2:13">
      <c r="B1451" s="34" t="s">
        <v>567</v>
      </c>
      <c r="E1451" s="34">
        <v>0</v>
      </c>
      <c r="F1451" s="34">
        <v>8</v>
      </c>
      <c r="I1451" s="35" t="s">
        <v>323</v>
      </c>
      <c r="L1451" s="34">
        <v>1</v>
      </c>
      <c r="M1451" s="34" t="s">
        <v>570</v>
      </c>
    </row>
    <row r="1453" spans="2:13">
      <c r="B1453" s="34" t="s">
        <v>571</v>
      </c>
      <c r="D1453" s="34" t="s">
        <v>572</v>
      </c>
      <c r="E1453" s="34">
        <v>0</v>
      </c>
      <c r="F1453" s="34">
        <v>8</v>
      </c>
      <c r="I1453" s="35" t="s">
        <v>393</v>
      </c>
    </row>
    <row r="1454" spans="2:13">
      <c r="B1454" s="34" t="s">
        <v>571</v>
      </c>
      <c r="E1454" s="34">
        <v>0</v>
      </c>
      <c r="F1454" s="34">
        <v>8</v>
      </c>
      <c r="I1454" s="35" t="s">
        <v>323</v>
      </c>
      <c r="L1454" s="34">
        <v>0</v>
      </c>
      <c r="M1454" s="34" t="s">
        <v>573</v>
      </c>
    </row>
    <row r="1455" spans="2:13">
      <c r="B1455" s="34" t="s">
        <v>571</v>
      </c>
      <c r="E1455" s="34">
        <v>0</v>
      </c>
      <c r="F1455" s="34">
        <v>8</v>
      </c>
      <c r="I1455" s="35" t="s">
        <v>323</v>
      </c>
      <c r="L1455" s="34">
        <v>1</v>
      </c>
      <c r="M1455" s="34" t="s">
        <v>574</v>
      </c>
    </row>
    <row r="1457" spans="1:13">
      <c r="B1457" s="34" t="s">
        <v>575</v>
      </c>
      <c r="D1457" s="34" t="s">
        <v>576</v>
      </c>
      <c r="E1457" s="34">
        <v>0</v>
      </c>
      <c r="F1457" s="34">
        <v>8</v>
      </c>
      <c r="I1457" s="35" t="s">
        <v>393</v>
      </c>
    </row>
    <row r="1458" spans="1:13">
      <c r="B1458" s="34" t="s">
        <v>575</v>
      </c>
      <c r="E1458" s="34">
        <v>0</v>
      </c>
      <c r="F1458" s="34">
        <v>8</v>
      </c>
      <c r="I1458" s="35" t="s">
        <v>323</v>
      </c>
      <c r="L1458" s="34">
        <v>0</v>
      </c>
      <c r="M1458" s="34" t="s">
        <v>577</v>
      </c>
    </row>
    <row r="1459" spans="1:13">
      <c r="B1459" s="34" t="s">
        <v>575</v>
      </c>
      <c r="E1459" s="34">
        <v>0</v>
      </c>
      <c r="F1459" s="34">
        <v>8</v>
      </c>
      <c r="I1459" s="35" t="s">
        <v>323</v>
      </c>
      <c r="L1459" s="34">
        <v>1</v>
      </c>
      <c r="M1459" s="34" t="s">
        <v>578</v>
      </c>
    </row>
    <row r="1460" spans="1:13">
      <c r="B1460" s="34" t="s">
        <v>575</v>
      </c>
      <c r="E1460" s="34">
        <v>0</v>
      </c>
      <c r="F1460" s="34">
        <v>8</v>
      </c>
      <c r="I1460" s="35" t="s">
        <v>323</v>
      </c>
      <c r="L1460" s="34">
        <v>2</v>
      </c>
      <c r="M1460" s="34" t="s">
        <v>579</v>
      </c>
    </row>
    <row r="1461" spans="1:13">
      <c r="B1461" s="34" t="s">
        <v>575</v>
      </c>
      <c r="E1461" s="34">
        <v>0</v>
      </c>
      <c r="F1461" s="34">
        <v>8</v>
      </c>
      <c r="I1461" s="35" t="s">
        <v>323</v>
      </c>
      <c r="L1461" s="34">
        <v>3</v>
      </c>
      <c r="M1461" s="34" t="s">
        <v>580</v>
      </c>
    </row>
    <row r="1462" spans="1:13">
      <c r="B1462" s="34" t="s">
        <v>575</v>
      </c>
      <c r="E1462" s="34">
        <v>0</v>
      </c>
      <c r="F1462" s="34">
        <v>8</v>
      </c>
      <c r="I1462" s="35" t="s">
        <v>323</v>
      </c>
      <c r="L1462" s="34">
        <v>4</v>
      </c>
      <c r="M1462" s="34" t="s">
        <v>581</v>
      </c>
    </row>
    <row r="1464" spans="1:13">
      <c r="B1464" s="34" t="s">
        <v>582</v>
      </c>
    </row>
    <row r="1466" spans="1:13" ht="30">
      <c r="A1466" s="59"/>
      <c r="B1466" s="59" t="s">
        <v>583</v>
      </c>
      <c r="C1466" s="60"/>
      <c r="D1466" s="61" t="s">
        <v>589</v>
      </c>
      <c r="E1466" s="59">
        <v>0</v>
      </c>
      <c r="F1466" s="59">
        <v>8</v>
      </c>
      <c r="G1466" s="59"/>
      <c r="H1466" s="59"/>
      <c r="I1466" s="35" t="s">
        <v>393</v>
      </c>
      <c r="J1466" s="59"/>
      <c r="K1466" s="59"/>
      <c r="L1466" s="59"/>
      <c r="M1466" s="59"/>
    </row>
    <row r="1467" spans="1:13">
      <c r="B1467" s="34" t="s">
        <v>583</v>
      </c>
      <c r="E1467" s="34">
        <v>0</v>
      </c>
      <c r="F1467" s="34">
        <v>8</v>
      </c>
      <c r="I1467" s="35" t="s">
        <v>323</v>
      </c>
      <c r="L1467" s="34">
        <v>0</v>
      </c>
      <c r="M1467" s="34" t="s">
        <v>584</v>
      </c>
    </row>
    <row r="1468" spans="1:13">
      <c r="B1468" s="34" t="s">
        <v>583</v>
      </c>
      <c r="E1468" s="34">
        <v>0</v>
      </c>
      <c r="F1468" s="34">
        <v>8</v>
      </c>
      <c r="I1468" s="35" t="s">
        <v>323</v>
      </c>
      <c r="L1468" s="34">
        <v>1</v>
      </c>
      <c r="M1468" s="34" t="s">
        <v>585</v>
      </c>
    </row>
    <row r="1469" spans="1:13">
      <c r="B1469" s="34" t="s">
        <v>583</v>
      </c>
      <c r="E1469" s="34">
        <v>0</v>
      </c>
      <c r="F1469" s="34">
        <v>8</v>
      </c>
      <c r="I1469" s="35" t="s">
        <v>323</v>
      </c>
      <c r="L1469" s="34">
        <v>2</v>
      </c>
      <c r="M1469" s="34" t="s">
        <v>586</v>
      </c>
    </row>
    <row r="1470" spans="1:13">
      <c r="B1470" s="34" t="s">
        <v>583</v>
      </c>
      <c r="E1470" s="34">
        <v>0</v>
      </c>
      <c r="F1470" s="34">
        <v>8</v>
      </c>
      <c r="I1470" s="35" t="s">
        <v>323</v>
      </c>
      <c r="L1470" s="34">
        <v>4</v>
      </c>
      <c r="M1470" s="34" t="s">
        <v>587</v>
      </c>
    </row>
    <row r="1471" spans="1:13">
      <c r="B1471" s="34" t="s">
        <v>583</v>
      </c>
      <c r="E1471" s="34">
        <v>0</v>
      </c>
      <c r="F1471" s="34">
        <v>8</v>
      </c>
      <c r="I1471" s="35" t="s">
        <v>323</v>
      </c>
      <c r="L1471" s="34">
        <v>8</v>
      </c>
      <c r="M1471" s="34" t="s">
        <v>588</v>
      </c>
    </row>
    <row r="1473" spans="1:13">
      <c r="A1473" s="59"/>
      <c r="B1473" s="59" t="s">
        <v>904</v>
      </c>
      <c r="C1473" s="59"/>
      <c r="D1473" s="59" t="s">
        <v>590</v>
      </c>
      <c r="E1473" s="59">
        <v>0</v>
      </c>
      <c r="F1473" s="59">
        <v>16</v>
      </c>
      <c r="G1473" s="59"/>
      <c r="H1473" s="59"/>
      <c r="I1473" s="35" t="s">
        <v>393</v>
      </c>
      <c r="J1473" s="59"/>
      <c r="K1473" s="59"/>
      <c r="L1473" s="59"/>
      <c r="M1473" s="59"/>
    </row>
    <row r="1474" spans="1:13">
      <c r="B1474" s="34" t="s">
        <v>904</v>
      </c>
      <c r="D1474" s="34" t="s">
        <v>591</v>
      </c>
      <c r="E1474" s="34">
        <v>0</v>
      </c>
      <c r="F1474" s="34">
        <v>1</v>
      </c>
      <c r="I1474" s="35" t="s">
        <v>393</v>
      </c>
    </row>
    <row r="1475" spans="1:13">
      <c r="B1475" s="34" t="s">
        <v>904</v>
      </c>
      <c r="D1475" s="34" t="s">
        <v>592</v>
      </c>
      <c r="E1475" s="34">
        <f>E1474+F1474</f>
        <v>1</v>
      </c>
      <c r="F1475" s="34">
        <v>1</v>
      </c>
      <c r="I1475" s="35" t="s">
        <v>393</v>
      </c>
    </row>
    <row r="1476" spans="1:13">
      <c r="B1476" s="34" t="s">
        <v>904</v>
      </c>
      <c r="D1476" s="34" t="s">
        <v>593</v>
      </c>
      <c r="E1476" s="34">
        <f t="shared" ref="E1476:E1483" si="11">E1475+F1475</f>
        <v>2</v>
      </c>
      <c r="F1476" s="34">
        <v>1</v>
      </c>
      <c r="I1476" s="35" t="s">
        <v>393</v>
      </c>
    </row>
    <row r="1477" spans="1:13">
      <c r="B1477" s="34" t="s">
        <v>904</v>
      </c>
      <c r="D1477" s="34" t="s">
        <v>594</v>
      </c>
      <c r="E1477" s="34">
        <f t="shared" si="11"/>
        <v>3</v>
      </c>
      <c r="F1477" s="34">
        <v>1</v>
      </c>
      <c r="I1477" s="35" t="s">
        <v>393</v>
      </c>
    </row>
    <row r="1478" spans="1:13">
      <c r="B1478" s="34" t="s">
        <v>904</v>
      </c>
      <c r="D1478" s="34" t="s">
        <v>595</v>
      </c>
      <c r="E1478" s="34">
        <f t="shared" si="11"/>
        <v>4</v>
      </c>
      <c r="F1478" s="34">
        <v>1</v>
      </c>
      <c r="I1478" s="35" t="s">
        <v>393</v>
      </c>
    </row>
    <row r="1479" spans="1:13">
      <c r="B1479" s="34" t="s">
        <v>904</v>
      </c>
      <c r="D1479" s="34" t="s">
        <v>596</v>
      </c>
      <c r="E1479" s="34">
        <f t="shared" si="11"/>
        <v>5</v>
      </c>
      <c r="F1479" s="34">
        <v>1</v>
      </c>
      <c r="I1479" s="35" t="s">
        <v>393</v>
      </c>
    </row>
    <row r="1480" spans="1:13">
      <c r="B1480" s="34" t="s">
        <v>904</v>
      </c>
      <c r="D1480" s="34" t="s">
        <v>597</v>
      </c>
      <c r="E1480" s="34">
        <f t="shared" si="11"/>
        <v>6</v>
      </c>
      <c r="F1480" s="34">
        <v>1</v>
      </c>
      <c r="I1480" s="35" t="s">
        <v>393</v>
      </c>
    </row>
    <row r="1481" spans="1:13">
      <c r="B1481" s="34" t="s">
        <v>904</v>
      </c>
      <c r="D1481" s="34" t="s">
        <v>598</v>
      </c>
      <c r="E1481" s="34">
        <f t="shared" si="11"/>
        <v>7</v>
      </c>
      <c r="F1481" s="34">
        <v>1</v>
      </c>
      <c r="I1481" s="35" t="s">
        <v>393</v>
      </c>
    </row>
    <row r="1482" spans="1:13">
      <c r="B1482" s="34" t="s">
        <v>904</v>
      </c>
      <c r="D1482" s="34" t="s">
        <v>599</v>
      </c>
      <c r="E1482" s="34">
        <f t="shared" si="11"/>
        <v>8</v>
      </c>
      <c r="F1482" s="34">
        <v>1</v>
      </c>
      <c r="I1482" s="35" t="s">
        <v>393</v>
      </c>
    </row>
    <row r="1483" spans="1:13">
      <c r="B1483" s="34" t="s">
        <v>904</v>
      </c>
      <c r="D1483" s="34" t="s">
        <v>600</v>
      </c>
      <c r="E1483" s="34">
        <f t="shared" si="11"/>
        <v>9</v>
      </c>
      <c r="F1483" s="34">
        <v>1</v>
      </c>
      <c r="I1483" s="35" t="s">
        <v>393</v>
      </c>
    </row>
    <row r="1485" spans="1:13">
      <c r="A1485" s="59"/>
      <c r="B1485" s="59" t="s">
        <v>601</v>
      </c>
      <c r="C1485" s="59"/>
      <c r="D1485" s="59" t="s">
        <v>602</v>
      </c>
      <c r="E1485" s="59">
        <v>0</v>
      </c>
      <c r="F1485" s="59">
        <v>8</v>
      </c>
      <c r="G1485" s="59"/>
      <c r="H1485" s="59"/>
      <c r="I1485" s="35" t="s">
        <v>393</v>
      </c>
      <c r="J1485" s="59"/>
      <c r="K1485" s="59"/>
      <c r="L1485" s="59"/>
      <c r="M1485" s="59"/>
    </row>
    <row r="1486" spans="1:13">
      <c r="B1486" s="34" t="s">
        <v>601</v>
      </c>
      <c r="E1486" s="34">
        <v>0</v>
      </c>
      <c r="F1486" s="34">
        <v>8</v>
      </c>
      <c r="I1486" s="35" t="s">
        <v>323</v>
      </c>
      <c r="L1486" s="34">
        <v>0</v>
      </c>
      <c r="M1486" s="34" t="s">
        <v>603</v>
      </c>
    </row>
    <row r="1487" spans="1:13">
      <c r="B1487" s="34" t="s">
        <v>601</v>
      </c>
      <c r="E1487" s="34">
        <v>0</v>
      </c>
      <c r="F1487" s="34">
        <v>8</v>
      </c>
      <c r="I1487" s="35" t="s">
        <v>323</v>
      </c>
      <c r="L1487" s="34">
        <v>1</v>
      </c>
      <c r="M1487" s="34" t="s">
        <v>604</v>
      </c>
    </row>
    <row r="1488" spans="1:13">
      <c r="B1488" s="34" t="s">
        <v>601</v>
      </c>
      <c r="E1488" s="34">
        <v>0</v>
      </c>
      <c r="F1488" s="34">
        <v>8</v>
      </c>
      <c r="I1488" s="35" t="s">
        <v>323</v>
      </c>
      <c r="L1488" s="34">
        <v>2</v>
      </c>
      <c r="M1488" s="34" t="s">
        <v>605</v>
      </c>
    </row>
    <row r="1490" spans="1:13">
      <c r="A1490" s="59"/>
      <c r="B1490" s="59" t="s">
        <v>606</v>
      </c>
      <c r="C1490" s="59"/>
      <c r="D1490" s="59" t="s">
        <v>607</v>
      </c>
      <c r="E1490" s="59">
        <v>0</v>
      </c>
      <c r="F1490" s="59">
        <v>16</v>
      </c>
      <c r="G1490" s="59"/>
      <c r="H1490" s="59"/>
      <c r="I1490" s="35" t="s">
        <v>393</v>
      </c>
      <c r="J1490" s="59"/>
      <c r="K1490" s="59"/>
      <c r="L1490" s="59"/>
      <c r="M1490" s="59"/>
    </row>
    <row r="1491" spans="1:13">
      <c r="B1491" s="34" t="s">
        <v>606</v>
      </c>
      <c r="E1491" s="34">
        <v>0</v>
      </c>
      <c r="F1491" s="34">
        <v>16</v>
      </c>
      <c r="I1491" s="35" t="s">
        <v>323</v>
      </c>
      <c r="L1491" s="34">
        <v>2</v>
      </c>
      <c r="M1491" s="34" t="s">
        <v>608</v>
      </c>
    </row>
    <row r="1492" spans="1:13">
      <c r="B1492" s="34" t="s">
        <v>606</v>
      </c>
      <c r="E1492" s="34">
        <v>0</v>
      </c>
      <c r="F1492" s="34">
        <v>16</v>
      </c>
      <c r="I1492" s="35" t="s">
        <v>323</v>
      </c>
      <c r="L1492" s="34">
        <v>34</v>
      </c>
      <c r="M1492" s="34" t="s">
        <v>609</v>
      </c>
    </row>
    <row r="1494" spans="1:13">
      <c r="A1494" s="59"/>
      <c r="B1494" s="59" t="s">
        <v>610</v>
      </c>
      <c r="C1494" s="59"/>
      <c r="D1494" s="59" t="s">
        <v>611</v>
      </c>
      <c r="E1494" s="59">
        <v>0</v>
      </c>
      <c r="F1494" s="59">
        <v>8</v>
      </c>
      <c r="G1494" s="59"/>
      <c r="H1494" s="59"/>
      <c r="I1494" s="35" t="s">
        <v>393</v>
      </c>
      <c r="J1494" s="59"/>
      <c r="K1494" s="59"/>
      <c r="L1494" s="59"/>
      <c r="M1494" s="59"/>
    </row>
    <row r="1495" spans="1:13">
      <c r="B1495" s="34" t="s">
        <v>610</v>
      </c>
      <c r="E1495" s="34">
        <v>0</v>
      </c>
      <c r="F1495" s="34">
        <v>8</v>
      </c>
      <c r="I1495" s="35" t="s">
        <v>323</v>
      </c>
      <c r="L1495" s="34">
        <v>0</v>
      </c>
      <c r="M1495" s="34" t="s">
        <v>612</v>
      </c>
    </row>
    <row r="1496" spans="1:13">
      <c r="B1496" s="34" t="s">
        <v>610</v>
      </c>
      <c r="E1496" s="34">
        <v>0</v>
      </c>
      <c r="F1496" s="34">
        <v>8</v>
      </c>
      <c r="I1496" s="35" t="s">
        <v>323</v>
      </c>
      <c r="L1496" s="34">
        <v>1</v>
      </c>
      <c r="M1496" s="34" t="s">
        <v>613</v>
      </c>
    </row>
    <row r="1497" spans="1:13">
      <c r="B1497" s="34" t="s">
        <v>610</v>
      </c>
      <c r="E1497" s="34">
        <v>0</v>
      </c>
      <c r="F1497" s="34">
        <v>8</v>
      </c>
      <c r="I1497" s="35" t="s">
        <v>323</v>
      </c>
      <c r="L1497" s="34">
        <v>2</v>
      </c>
      <c r="M1497" s="34" t="s">
        <v>614</v>
      </c>
    </row>
    <row r="1498" spans="1:13">
      <c r="I1498" s="35"/>
    </row>
    <row r="1499" spans="1:13">
      <c r="A1499" s="59"/>
      <c r="B1499" s="59" t="s">
        <v>615</v>
      </c>
      <c r="C1499" s="59"/>
      <c r="D1499" s="59" t="s">
        <v>616</v>
      </c>
      <c r="E1499" s="59">
        <v>0</v>
      </c>
      <c r="F1499" s="59">
        <v>8</v>
      </c>
      <c r="G1499" s="59"/>
      <c r="H1499" s="59"/>
      <c r="I1499" s="35" t="s">
        <v>393</v>
      </c>
      <c r="J1499" s="59"/>
      <c r="K1499" s="59"/>
      <c r="L1499" s="59"/>
      <c r="M1499" s="59"/>
    </row>
    <row r="1500" spans="1:13">
      <c r="B1500" s="34" t="s">
        <v>615</v>
      </c>
      <c r="E1500" s="34">
        <v>0</v>
      </c>
      <c r="F1500" s="34">
        <v>8</v>
      </c>
      <c r="I1500" s="35" t="s">
        <v>323</v>
      </c>
      <c r="L1500" s="34">
        <v>0</v>
      </c>
      <c r="M1500" s="34" t="s">
        <v>617</v>
      </c>
    </row>
    <row r="1501" spans="1:13">
      <c r="B1501" s="34" t="s">
        <v>615</v>
      </c>
      <c r="E1501" s="34">
        <v>0</v>
      </c>
      <c r="F1501" s="34">
        <v>8</v>
      </c>
      <c r="I1501" s="35" t="s">
        <v>323</v>
      </c>
      <c r="L1501" s="34">
        <v>1</v>
      </c>
      <c r="M1501" s="34" t="s">
        <v>618</v>
      </c>
    </row>
    <row r="1503" spans="1:13">
      <c r="A1503" s="59"/>
      <c r="B1503" s="59" t="s">
        <v>619</v>
      </c>
      <c r="C1503" s="59"/>
      <c r="D1503" s="59" t="s">
        <v>620</v>
      </c>
      <c r="E1503" s="59">
        <v>0</v>
      </c>
      <c r="F1503" s="59">
        <v>8</v>
      </c>
      <c r="G1503" s="59"/>
      <c r="H1503" s="59"/>
      <c r="I1503" s="35" t="s">
        <v>393</v>
      </c>
      <c r="J1503" s="59"/>
      <c r="K1503" s="59"/>
      <c r="L1503" s="59"/>
      <c r="M1503" s="59"/>
    </row>
    <row r="1504" spans="1:13">
      <c r="B1504" s="34" t="s">
        <v>619</v>
      </c>
      <c r="E1504" s="34">
        <v>0</v>
      </c>
      <c r="F1504" s="34">
        <v>8</v>
      </c>
      <c r="I1504" s="35" t="s">
        <v>323</v>
      </c>
      <c r="L1504" s="34">
        <v>4</v>
      </c>
      <c r="M1504" s="34" t="s">
        <v>621</v>
      </c>
    </row>
    <row r="1505" spans="1:13">
      <c r="B1505" s="34" t="s">
        <v>619</v>
      </c>
      <c r="E1505" s="34">
        <v>0</v>
      </c>
      <c r="F1505" s="34">
        <v>8</v>
      </c>
      <c r="I1505" s="35" t="s">
        <v>323</v>
      </c>
      <c r="L1505" s="34">
        <v>5</v>
      </c>
      <c r="M1505" s="34" t="s">
        <v>622</v>
      </c>
    </row>
    <row r="1506" spans="1:13">
      <c r="B1506" s="34" t="s">
        <v>619</v>
      </c>
      <c r="E1506" s="34">
        <v>0</v>
      </c>
      <c r="F1506" s="34">
        <v>8</v>
      </c>
      <c r="I1506" s="35" t="s">
        <v>323</v>
      </c>
      <c r="L1506" s="34">
        <v>6</v>
      </c>
      <c r="M1506" s="34" t="s">
        <v>623</v>
      </c>
    </row>
    <row r="1507" spans="1:13">
      <c r="B1507" s="34" t="s">
        <v>619</v>
      </c>
      <c r="E1507" s="34">
        <v>0</v>
      </c>
      <c r="F1507" s="34">
        <v>8</v>
      </c>
      <c r="I1507" s="35" t="s">
        <v>323</v>
      </c>
      <c r="L1507" s="34">
        <v>7</v>
      </c>
      <c r="M1507" s="34" t="s">
        <v>624</v>
      </c>
    </row>
    <row r="1508" spans="1:13">
      <c r="B1508" s="34" t="s">
        <v>619</v>
      </c>
      <c r="E1508" s="34">
        <v>0</v>
      </c>
      <c r="F1508" s="34">
        <v>8</v>
      </c>
      <c r="I1508" s="35" t="s">
        <v>323</v>
      </c>
      <c r="L1508" s="34">
        <v>13</v>
      </c>
      <c r="M1508" s="34" t="s">
        <v>625</v>
      </c>
    </row>
    <row r="1509" spans="1:13">
      <c r="B1509" s="34" t="s">
        <v>619</v>
      </c>
      <c r="E1509" s="34">
        <v>0</v>
      </c>
      <c r="F1509" s="34">
        <v>8</v>
      </c>
      <c r="I1509" s="35" t="s">
        <v>323</v>
      </c>
      <c r="L1509" s="34">
        <v>14</v>
      </c>
      <c r="M1509" s="34" t="s">
        <v>626</v>
      </c>
    </row>
    <row r="1510" spans="1:13">
      <c r="B1510" s="34" t="s">
        <v>619</v>
      </c>
      <c r="E1510" s="34">
        <v>0</v>
      </c>
      <c r="F1510" s="34">
        <v>8</v>
      </c>
      <c r="I1510" s="35" t="s">
        <v>323</v>
      </c>
      <c r="L1510" s="34">
        <v>17</v>
      </c>
      <c r="M1510" s="34" t="s">
        <v>627</v>
      </c>
    </row>
    <row r="1511" spans="1:13">
      <c r="B1511" s="34" t="s">
        <v>619</v>
      </c>
      <c r="E1511" s="34">
        <v>0</v>
      </c>
      <c r="F1511" s="34">
        <v>8</v>
      </c>
      <c r="I1511" s="35" t="s">
        <v>323</v>
      </c>
      <c r="L1511" s="34">
        <v>18</v>
      </c>
      <c r="M1511" s="34" t="s">
        <v>628</v>
      </c>
    </row>
    <row r="1512" spans="1:13">
      <c r="B1512" s="34" t="s">
        <v>619</v>
      </c>
      <c r="E1512" s="34">
        <v>0</v>
      </c>
      <c r="F1512" s="34">
        <v>8</v>
      </c>
      <c r="I1512" s="35" t="s">
        <v>323</v>
      </c>
      <c r="L1512" s="34">
        <v>19</v>
      </c>
      <c r="M1512" s="34" t="s">
        <v>629</v>
      </c>
    </row>
    <row r="1513" spans="1:13">
      <c r="B1513" s="34" t="s">
        <v>619</v>
      </c>
      <c r="E1513" s="34">
        <v>0</v>
      </c>
      <c r="F1513" s="34">
        <v>8</v>
      </c>
      <c r="I1513" s="35" t="s">
        <v>323</v>
      </c>
      <c r="L1513" s="34">
        <v>20</v>
      </c>
      <c r="M1513" s="34" t="s">
        <v>630</v>
      </c>
    </row>
    <row r="1514" spans="1:13">
      <c r="B1514" s="34" t="s">
        <v>619</v>
      </c>
      <c r="E1514" s="34">
        <v>0</v>
      </c>
      <c r="F1514" s="34">
        <v>8</v>
      </c>
      <c r="I1514" s="35" t="s">
        <v>323</v>
      </c>
      <c r="L1514" s="34">
        <v>22</v>
      </c>
      <c r="M1514" s="34" t="s">
        <v>631</v>
      </c>
    </row>
    <row r="1515" spans="1:13">
      <c r="B1515" s="34" t="s">
        <v>619</v>
      </c>
      <c r="E1515" s="34">
        <v>0</v>
      </c>
      <c r="F1515" s="34">
        <v>8</v>
      </c>
      <c r="I1515" s="35" t="s">
        <v>323</v>
      </c>
      <c r="L1515" s="34">
        <v>23</v>
      </c>
      <c r="M1515" s="34" t="s">
        <v>632</v>
      </c>
    </row>
    <row r="1517" spans="1:13">
      <c r="A1517" s="59"/>
      <c r="B1517" s="59" t="s">
        <v>633</v>
      </c>
      <c r="C1517" s="59"/>
      <c r="D1517" s="59" t="s">
        <v>634</v>
      </c>
      <c r="E1517" s="59">
        <v>0</v>
      </c>
      <c r="F1517" s="59">
        <v>8</v>
      </c>
      <c r="G1517" s="59"/>
      <c r="H1517" s="59"/>
      <c r="I1517" s="59"/>
      <c r="J1517" s="59"/>
      <c r="K1517" s="59"/>
      <c r="L1517" s="59"/>
      <c r="M1517" s="59"/>
    </row>
    <row r="1518" spans="1:13">
      <c r="B1518" s="34" t="s">
        <v>633</v>
      </c>
      <c r="D1518" s="34" t="s">
        <v>635</v>
      </c>
      <c r="E1518" s="34">
        <v>0</v>
      </c>
      <c r="F1518" s="34">
        <v>1</v>
      </c>
      <c r="I1518" s="35" t="s">
        <v>393</v>
      </c>
    </row>
    <row r="1519" spans="1:13">
      <c r="B1519" s="34" t="s">
        <v>633</v>
      </c>
      <c r="D1519" s="34" t="s">
        <v>636</v>
      </c>
      <c r="E1519" s="34">
        <f>E1518+F1518</f>
        <v>1</v>
      </c>
      <c r="F1519" s="34">
        <v>1</v>
      </c>
      <c r="I1519" s="35" t="s">
        <v>393</v>
      </c>
    </row>
    <row r="1520" spans="1:13">
      <c r="B1520" s="34" t="s">
        <v>633</v>
      </c>
      <c r="D1520" s="34" t="s">
        <v>637</v>
      </c>
      <c r="E1520" s="34">
        <f t="shared" ref="E1520:E1524" si="12">E1519+F1519</f>
        <v>2</v>
      </c>
      <c r="F1520" s="34">
        <v>1</v>
      </c>
      <c r="I1520" s="35" t="s">
        <v>393</v>
      </c>
    </row>
    <row r="1521" spans="2:13">
      <c r="B1521" s="34" t="s">
        <v>633</v>
      </c>
      <c r="D1521" s="34" t="s">
        <v>638</v>
      </c>
      <c r="E1521" s="34">
        <f t="shared" si="12"/>
        <v>3</v>
      </c>
      <c r="F1521" s="34">
        <v>1</v>
      </c>
      <c r="I1521" s="35" t="s">
        <v>393</v>
      </c>
    </row>
    <row r="1522" spans="2:13">
      <c r="B1522" s="34" t="s">
        <v>633</v>
      </c>
      <c r="D1522" s="34" t="s">
        <v>639</v>
      </c>
      <c r="E1522" s="34">
        <f t="shared" si="12"/>
        <v>4</v>
      </c>
      <c r="F1522" s="34">
        <v>2</v>
      </c>
      <c r="I1522" s="35" t="s">
        <v>393</v>
      </c>
    </row>
    <row r="1523" spans="2:13">
      <c r="B1523" s="34" t="s">
        <v>633</v>
      </c>
      <c r="D1523" s="34" t="s">
        <v>642</v>
      </c>
      <c r="E1523" s="34">
        <f t="shared" si="12"/>
        <v>6</v>
      </c>
      <c r="F1523" s="34">
        <v>1</v>
      </c>
      <c r="I1523" s="35" t="s">
        <v>393</v>
      </c>
    </row>
    <row r="1524" spans="2:13">
      <c r="B1524" s="34" t="s">
        <v>633</v>
      </c>
      <c r="D1524" s="34" t="s">
        <v>643</v>
      </c>
      <c r="E1524" s="34">
        <f t="shared" si="12"/>
        <v>7</v>
      </c>
      <c r="F1524" s="34">
        <v>1</v>
      </c>
      <c r="I1524" s="35" t="s">
        <v>393</v>
      </c>
    </row>
    <row r="1525" spans="2:13">
      <c r="B1525" s="34" t="s">
        <v>633</v>
      </c>
    </row>
    <row r="1526" spans="2:13">
      <c r="B1526" s="34" t="s">
        <v>633</v>
      </c>
    </row>
    <row r="1527" spans="2:13">
      <c r="B1527" s="34" t="s">
        <v>633</v>
      </c>
      <c r="E1527" s="34">
        <v>4</v>
      </c>
      <c r="F1527" s="34">
        <v>2</v>
      </c>
      <c r="I1527" s="35" t="s">
        <v>323</v>
      </c>
      <c r="L1527" s="34">
        <v>0</v>
      </c>
      <c r="M1527" s="34" t="s">
        <v>644</v>
      </c>
    </row>
    <row r="1528" spans="2:13">
      <c r="B1528" s="34" t="s">
        <v>633</v>
      </c>
      <c r="E1528" s="34">
        <v>4</v>
      </c>
      <c r="F1528" s="34">
        <v>2</v>
      </c>
      <c r="I1528" s="35" t="s">
        <v>323</v>
      </c>
      <c r="L1528" s="34">
        <v>1</v>
      </c>
      <c r="M1528" s="34" t="s">
        <v>640</v>
      </c>
    </row>
    <row r="1529" spans="2:13">
      <c r="B1529" s="34" t="s">
        <v>633</v>
      </c>
      <c r="E1529" s="34">
        <v>4</v>
      </c>
      <c r="F1529" s="34">
        <v>2</v>
      </c>
      <c r="I1529" s="35" t="s">
        <v>323</v>
      </c>
      <c r="L1529" s="34">
        <v>2</v>
      </c>
      <c r="M1529" s="34" t="s">
        <v>641</v>
      </c>
    </row>
    <row r="1531" spans="2:13">
      <c r="B1531" s="34" t="s">
        <v>645</v>
      </c>
      <c r="D1531" s="34" t="s">
        <v>646</v>
      </c>
      <c r="E1531" s="34">
        <v>0</v>
      </c>
      <c r="F1531" s="34">
        <v>8</v>
      </c>
    </row>
    <row r="1532" spans="2:13">
      <c r="B1532" s="34" t="s">
        <v>645</v>
      </c>
      <c r="D1532" s="34" t="s">
        <v>647</v>
      </c>
      <c r="E1532" s="34">
        <v>0</v>
      </c>
      <c r="F1532" s="34">
        <v>1</v>
      </c>
      <c r="I1532" s="35" t="s">
        <v>393</v>
      </c>
    </row>
    <row r="1533" spans="2:13">
      <c r="B1533" s="34" t="s">
        <v>645</v>
      </c>
      <c r="D1533" s="34" t="s">
        <v>648</v>
      </c>
      <c r="E1533" s="34">
        <f>E1532+F1532</f>
        <v>1</v>
      </c>
      <c r="F1533" s="34">
        <v>1</v>
      </c>
      <c r="I1533" s="35" t="s">
        <v>393</v>
      </c>
    </row>
    <row r="1534" spans="2:13">
      <c r="B1534" s="34" t="s">
        <v>645</v>
      </c>
      <c r="D1534" s="34" t="s">
        <v>649</v>
      </c>
      <c r="E1534" s="34">
        <f t="shared" ref="E1534:E1537" si="13">E1533+F1533</f>
        <v>2</v>
      </c>
      <c r="F1534" s="34">
        <v>1</v>
      </c>
      <c r="I1534" s="35" t="s">
        <v>393</v>
      </c>
    </row>
    <row r="1535" spans="2:13">
      <c r="B1535" s="34" t="s">
        <v>645</v>
      </c>
      <c r="D1535" s="34" t="s">
        <v>650</v>
      </c>
      <c r="E1535" s="34">
        <f t="shared" si="13"/>
        <v>3</v>
      </c>
      <c r="F1535" s="34">
        <v>1</v>
      </c>
      <c r="I1535" s="35" t="s">
        <v>393</v>
      </c>
    </row>
    <row r="1536" spans="2:13">
      <c r="B1536" s="34" t="s">
        <v>645</v>
      </c>
      <c r="D1536" s="34" t="s">
        <v>651</v>
      </c>
      <c r="E1536" s="34">
        <f t="shared" si="13"/>
        <v>4</v>
      </c>
      <c r="F1536" s="34">
        <v>1</v>
      </c>
      <c r="I1536" s="35" t="s">
        <v>393</v>
      </c>
    </row>
    <row r="1537" spans="2:9">
      <c r="B1537" s="34" t="s">
        <v>645</v>
      </c>
      <c r="D1537" s="34" t="s">
        <v>652</v>
      </c>
      <c r="E1537" s="34">
        <f t="shared" si="13"/>
        <v>5</v>
      </c>
      <c r="F1537" s="34">
        <v>1</v>
      </c>
      <c r="I1537" s="35" t="s">
        <v>393</v>
      </c>
    </row>
    <row r="1539" spans="2:9">
      <c r="B1539" s="34" t="s">
        <v>653</v>
      </c>
      <c r="D1539" s="34" t="s">
        <v>654</v>
      </c>
      <c r="E1539" s="34">
        <v>0</v>
      </c>
      <c r="F1539" s="34">
        <v>16</v>
      </c>
      <c r="I1539" s="35" t="s">
        <v>393</v>
      </c>
    </row>
    <row r="1540" spans="2:9">
      <c r="B1540" s="34" t="s">
        <v>653</v>
      </c>
      <c r="D1540" s="34" t="s">
        <v>655</v>
      </c>
      <c r="E1540" s="34">
        <v>0</v>
      </c>
      <c r="F1540" s="34">
        <v>3</v>
      </c>
      <c r="I1540" s="35" t="s">
        <v>393</v>
      </c>
    </row>
    <row r="1541" spans="2:9">
      <c r="B1541" s="34" t="s">
        <v>653</v>
      </c>
      <c r="D1541" s="34" t="s">
        <v>656</v>
      </c>
      <c r="E1541" s="34">
        <v>4</v>
      </c>
      <c r="F1541" s="34">
        <v>7</v>
      </c>
      <c r="I1541" s="35" t="s">
        <v>393</v>
      </c>
    </row>
    <row r="1542" spans="2:9">
      <c r="B1542" s="34" t="s">
        <v>653</v>
      </c>
      <c r="D1542" s="34" t="s">
        <v>657</v>
      </c>
      <c r="E1542" s="34">
        <v>8</v>
      </c>
      <c r="F1542" s="34">
        <v>11</v>
      </c>
      <c r="I1542" s="35" t="s">
        <v>393</v>
      </c>
    </row>
    <row r="1544" spans="2:9">
      <c r="B1544" s="34" t="s">
        <v>658</v>
      </c>
      <c r="D1544" s="34" t="s">
        <v>659</v>
      </c>
      <c r="E1544" s="34">
        <v>0</v>
      </c>
      <c r="F1544" s="34">
        <v>16</v>
      </c>
    </row>
    <row r="1545" spans="2:9">
      <c r="B1545" s="34" t="s">
        <v>658</v>
      </c>
      <c r="D1545" s="34" t="s">
        <v>660</v>
      </c>
      <c r="E1545" s="34">
        <v>0</v>
      </c>
      <c r="F1545" s="34">
        <v>1</v>
      </c>
      <c r="I1545" s="35" t="s">
        <v>393</v>
      </c>
    </row>
    <row r="1546" spans="2:9">
      <c r="B1546" s="34" t="s">
        <v>658</v>
      </c>
      <c r="D1546" s="34" t="s">
        <v>661</v>
      </c>
      <c r="E1546" s="34">
        <f>E1545+F1545</f>
        <v>1</v>
      </c>
      <c r="F1546" s="34">
        <v>1</v>
      </c>
      <c r="I1546" s="35" t="s">
        <v>393</v>
      </c>
    </row>
    <row r="1547" spans="2:9">
      <c r="B1547" s="34" t="s">
        <v>658</v>
      </c>
      <c r="D1547" s="34" t="s">
        <v>662</v>
      </c>
      <c r="E1547" s="34">
        <f t="shared" ref="E1547:E1558" si="14">E1546+F1546</f>
        <v>2</v>
      </c>
      <c r="F1547" s="34">
        <v>1</v>
      </c>
      <c r="I1547" s="35" t="s">
        <v>393</v>
      </c>
    </row>
    <row r="1548" spans="2:9">
      <c r="B1548" s="34" t="s">
        <v>658</v>
      </c>
      <c r="D1548" s="34" t="s">
        <v>663</v>
      </c>
      <c r="E1548" s="34">
        <f t="shared" si="14"/>
        <v>3</v>
      </c>
      <c r="F1548" s="34">
        <v>1</v>
      </c>
      <c r="I1548" s="35" t="s">
        <v>393</v>
      </c>
    </row>
    <row r="1549" spans="2:9">
      <c r="B1549" s="34" t="s">
        <v>658</v>
      </c>
      <c r="D1549" s="34" t="s">
        <v>664</v>
      </c>
      <c r="E1549" s="34">
        <f t="shared" si="14"/>
        <v>4</v>
      </c>
      <c r="F1549" s="34">
        <v>1</v>
      </c>
      <c r="I1549" s="35" t="s">
        <v>393</v>
      </c>
    </row>
    <row r="1550" spans="2:9">
      <c r="B1550" s="34" t="s">
        <v>658</v>
      </c>
      <c r="D1550" s="34" t="s">
        <v>665</v>
      </c>
      <c r="E1550" s="34">
        <f t="shared" si="14"/>
        <v>5</v>
      </c>
      <c r="F1550" s="34">
        <v>1</v>
      </c>
      <c r="I1550" s="35" t="s">
        <v>393</v>
      </c>
    </row>
    <row r="1551" spans="2:9">
      <c r="B1551" s="34" t="s">
        <v>658</v>
      </c>
      <c r="D1551" s="34" t="s">
        <v>666</v>
      </c>
      <c r="E1551" s="34">
        <f t="shared" si="14"/>
        <v>6</v>
      </c>
      <c r="F1551" s="34">
        <v>1</v>
      </c>
      <c r="I1551" s="35" t="s">
        <v>393</v>
      </c>
    </row>
    <row r="1552" spans="2:9">
      <c r="B1552" s="34" t="s">
        <v>658</v>
      </c>
      <c r="D1552" s="34" t="s">
        <v>667</v>
      </c>
      <c r="E1552" s="34">
        <f t="shared" si="14"/>
        <v>7</v>
      </c>
      <c r="F1552" s="34">
        <v>1</v>
      </c>
      <c r="I1552" s="35" t="s">
        <v>393</v>
      </c>
    </row>
    <row r="1553" spans="2:13">
      <c r="B1553" s="34" t="s">
        <v>658</v>
      </c>
      <c r="D1553" s="34" t="s">
        <v>668</v>
      </c>
      <c r="E1553" s="34">
        <f t="shared" si="14"/>
        <v>8</v>
      </c>
      <c r="F1553" s="34">
        <v>2</v>
      </c>
      <c r="I1553" s="35" t="s">
        <v>393</v>
      </c>
    </row>
    <row r="1554" spans="2:13">
      <c r="B1554" s="34" t="s">
        <v>658</v>
      </c>
      <c r="D1554" s="34" t="s">
        <v>669</v>
      </c>
      <c r="E1554" s="34">
        <f t="shared" si="14"/>
        <v>10</v>
      </c>
      <c r="F1554" s="34">
        <v>1</v>
      </c>
      <c r="I1554" s="35" t="s">
        <v>393</v>
      </c>
    </row>
    <row r="1555" spans="2:13">
      <c r="B1555" s="34" t="s">
        <v>658</v>
      </c>
      <c r="D1555" s="34" t="s">
        <v>675</v>
      </c>
      <c r="E1555" s="34">
        <f t="shared" si="14"/>
        <v>11</v>
      </c>
      <c r="F1555" s="34">
        <v>1</v>
      </c>
      <c r="I1555" s="35" t="s">
        <v>393</v>
      </c>
    </row>
    <row r="1556" spans="2:13">
      <c r="B1556" s="34" t="s">
        <v>658</v>
      </c>
      <c r="D1556" s="34" t="s">
        <v>676</v>
      </c>
      <c r="E1556" s="34">
        <f t="shared" si="14"/>
        <v>12</v>
      </c>
      <c r="F1556" s="34">
        <v>1</v>
      </c>
      <c r="I1556" s="35" t="s">
        <v>393</v>
      </c>
    </row>
    <row r="1557" spans="2:13">
      <c r="B1557" s="34" t="s">
        <v>658</v>
      </c>
      <c r="D1557" s="34" t="s">
        <v>677</v>
      </c>
      <c r="E1557" s="34">
        <f t="shared" si="14"/>
        <v>13</v>
      </c>
      <c r="F1557" s="34">
        <v>1</v>
      </c>
      <c r="I1557" s="35" t="s">
        <v>393</v>
      </c>
    </row>
    <row r="1558" spans="2:13">
      <c r="B1558" s="34" t="s">
        <v>658</v>
      </c>
      <c r="D1558" s="34" t="s">
        <v>678</v>
      </c>
      <c r="E1558" s="34">
        <f t="shared" si="14"/>
        <v>14</v>
      </c>
      <c r="F1558" s="34">
        <v>2</v>
      </c>
      <c r="I1558" s="35" t="s">
        <v>393</v>
      </c>
    </row>
    <row r="1559" spans="2:13">
      <c r="B1559" s="34" t="s">
        <v>658</v>
      </c>
      <c r="C1559" s="58"/>
      <c r="I1559" s="59"/>
    </row>
    <row r="1560" spans="2:13">
      <c r="B1560" s="34" t="s">
        <v>658</v>
      </c>
      <c r="E1560" s="34">
        <v>8</v>
      </c>
      <c r="F1560" s="34">
        <v>2</v>
      </c>
      <c r="I1560" s="35" t="s">
        <v>323</v>
      </c>
      <c r="L1560" s="34">
        <v>0</v>
      </c>
      <c r="M1560" s="34" t="s">
        <v>672</v>
      </c>
    </row>
    <row r="1561" spans="2:13">
      <c r="B1561" s="34" t="s">
        <v>658</v>
      </c>
      <c r="E1561" s="34">
        <v>8</v>
      </c>
      <c r="F1561" s="34">
        <v>2</v>
      </c>
      <c r="I1561" s="35" t="s">
        <v>323</v>
      </c>
      <c r="L1561" s="34">
        <v>1</v>
      </c>
      <c r="M1561" s="34" t="s">
        <v>673</v>
      </c>
    </row>
    <row r="1562" spans="2:13">
      <c r="B1562" s="34" t="s">
        <v>658</v>
      </c>
      <c r="E1562" s="34">
        <v>8</v>
      </c>
      <c r="F1562" s="34">
        <v>2</v>
      </c>
      <c r="I1562" s="35" t="s">
        <v>323</v>
      </c>
      <c r="L1562" s="34">
        <v>2</v>
      </c>
      <c r="M1562" s="34" t="s">
        <v>674</v>
      </c>
    </row>
    <row r="1563" spans="2:13">
      <c r="B1563" s="34" t="s">
        <v>658</v>
      </c>
      <c r="E1563" s="34">
        <v>10</v>
      </c>
      <c r="F1563" s="34">
        <v>1</v>
      </c>
      <c r="I1563" s="35" t="s">
        <v>323</v>
      </c>
      <c r="L1563" s="34">
        <v>0</v>
      </c>
      <c r="M1563" s="34" t="s">
        <v>670</v>
      </c>
    </row>
    <row r="1564" spans="2:13">
      <c r="B1564" s="34" t="s">
        <v>658</v>
      </c>
      <c r="E1564" s="34">
        <v>10</v>
      </c>
      <c r="F1564" s="34">
        <v>1</v>
      </c>
      <c r="I1564" s="35" t="s">
        <v>323</v>
      </c>
      <c r="L1564" s="34">
        <v>1</v>
      </c>
      <c r="M1564" s="34" t="s">
        <v>671</v>
      </c>
    </row>
    <row r="1566" spans="2:13">
      <c r="C1566" s="38"/>
    </row>
    <row r="1567" spans="2:13">
      <c r="B1567"/>
      <c r="C1567" s="38"/>
      <c r="D1567" s="34" t="s">
        <v>385</v>
      </c>
      <c r="E1567" s="34">
        <v>0</v>
      </c>
      <c r="F1567" s="34">
        <v>1</v>
      </c>
      <c r="I1567" s="34" t="s">
        <v>393</v>
      </c>
    </row>
    <row r="1568" spans="2:13">
      <c r="B1568" s="64"/>
      <c r="C1568" s="38"/>
      <c r="D1568" s="34" t="s">
        <v>386</v>
      </c>
      <c r="E1568" s="34">
        <f>E1567+F1567</f>
        <v>1</v>
      </c>
      <c r="F1568" s="34">
        <v>1</v>
      </c>
      <c r="I1568" s="34" t="s">
        <v>393</v>
      </c>
    </row>
    <row r="1569" spans="2:13">
      <c r="B1569" s="64"/>
      <c r="C1569" s="38"/>
      <c r="D1569" s="34" t="s">
        <v>387</v>
      </c>
      <c r="E1569" s="34">
        <f t="shared" ref="E1569:E1574" si="15">E1568+F1568</f>
        <v>2</v>
      </c>
      <c r="F1569" s="34">
        <v>1</v>
      </c>
      <c r="I1569" s="34" t="s">
        <v>393</v>
      </c>
    </row>
    <row r="1570" spans="2:13">
      <c r="B1570" s="64"/>
      <c r="C1570" s="38"/>
      <c r="D1570" s="34" t="s">
        <v>388</v>
      </c>
      <c r="E1570" s="34">
        <f t="shared" si="15"/>
        <v>3</v>
      </c>
      <c r="F1570" s="34">
        <v>1</v>
      </c>
      <c r="I1570" s="34" t="s">
        <v>393</v>
      </c>
    </row>
    <row r="1571" spans="2:13">
      <c r="B1571" s="64"/>
      <c r="C1571" s="38"/>
      <c r="D1571" s="34" t="s">
        <v>389</v>
      </c>
      <c r="E1571" s="34">
        <f t="shared" si="15"/>
        <v>4</v>
      </c>
      <c r="F1571" s="34">
        <v>1</v>
      </c>
      <c r="I1571" s="34" t="s">
        <v>393</v>
      </c>
    </row>
    <row r="1572" spans="2:13">
      <c r="B1572" s="64"/>
      <c r="D1572" s="34" t="s">
        <v>390</v>
      </c>
      <c r="E1572" s="34">
        <f t="shared" si="15"/>
        <v>5</v>
      </c>
      <c r="F1572" s="34">
        <v>1</v>
      </c>
      <c r="I1572" s="34" t="s">
        <v>393</v>
      </c>
    </row>
    <row r="1573" spans="2:13">
      <c r="B1573" s="64"/>
      <c r="D1573" s="34" t="s">
        <v>391</v>
      </c>
      <c r="E1573" s="34">
        <f t="shared" si="15"/>
        <v>6</v>
      </c>
      <c r="F1573" s="34">
        <v>1</v>
      </c>
      <c r="I1573" s="34" t="s">
        <v>393</v>
      </c>
    </row>
    <row r="1574" spans="2:13">
      <c r="B1574" s="64"/>
      <c r="D1574" s="34" t="s">
        <v>392</v>
      </c>
      <c r="E1574" s="34">
        <f t="shared" si="15"/>
        <v>7</v>
      </c>
      <c r="F1574" s="34">
        <v>1</v>
      </c>
      <c r="I1574" s="34" t="s">
        <v>393</v>
      </c>
    </row>
    <row r="1575" spans="2:13">
      <c r="B1575" s="64"/>
      <c r="C1575" s="64"/>
    </row>
    <row r="1576" spans="2:13">
      <c r="B1576" s="52" t="s">
        <v>874</v>
      </c>
      <c r="D1576" t="s">
        <v>909</v>
      </c>
      <c r="E1576" s="34">
        <v>0</v>
      </c>
      <c r="F1576" s="34">
        <v>1</v>
      </c>
      <c r="I1576" s="34" t="s">
        <v>393</v>
      </c>
    </row>
    <row r="1577" spans="2:13">
      <c r="B1577" s="65" t="s">
        <v>874</v>
      </c>
      <c r="C1577" s="53"/>
      <c r="D1577" s="54"/>
      <c r="E1577" s="54">
        <v>0</v>
      </c>
      <c r="F1577" s="54">
        <v>1</v>
      </c>
      <c r="G1577" s="54"/>
      <c r="H1577" s="54"/>
      <c r="I1577" s="54" t="s">
        <v>323</v>
      </c>
      <c r="J1577" s="54"/>
      <c r="K1577" s="54"/>
      <c r="L1577" s="54">
        <v>0</v>
      </c>
      <c r="M1577" s="54" t="s">
        <v>396</v>
      </c>
    </row>
    <row r="1578" spans="2:13">
      <c r="B1578" s="65" t="s">
        <v>874</v>
      </c>
      <c r="C1578" s="53"/>
      <c r="D1578" s="54"/>
      <c r="E1578" s="54">
        <v>0</v>
      </c>
      <c r="F1578" s="54">
        <v>1</v>
      </c>
      <c r="G1578" s="54"/>
      <c r="H1578" s="54"/>
      <c r="I1578" s="54" t="s">
        <v>323</v>
      </c>
      <c r="J1578" s="54"/>
      <c r="K1578" s="54"/>
      <c r="L1578" s="54">
        <v>1</v>
      </c>
      <c r="M1578" s="54" t="s">
        <v>397</v>
      </c>
    </row>
    <row r="1579" spans="2:13">
      <c r="B1579" s="65" t="s">
        <v>874</v>
      </c>
      <c r="C1579" s="52"/>
      <c r="D1579" s="34" t="s">
        <v>398</v>
      </c>
      <c r="E1579" s="34">
        <v>1</v>
      </c>
      <c r="F1579" s="34">
        <v>1</v>
      </c>
      <c r="I1579" s="34" t="s">
        <v>393</v>
      </c>
    </row>
    <row r="1580" spans="2:13">
      <c r="B1580" s="65" t="s">
        <v>874</v>
      </c>
      <c r="C1580" s="52"/>
      <c r="D1580" s="34" t="s">
        <v>399</v>
      </c>
      <c r="E1580" s="34">
        <v>2</v>
      </c>
      <c r="F1580" s="34">
        <v>1</v>
      </c>
      <c r="I1580" s="34" t="s">
        <v>393</v>
      </c>
    </row>
    <row r="1581" spans="2:13">
      <c r="B1581" s="65" t="s">
        <v>874</v>
      </c>
      <c r="E1581" s="34">
        <v>8</v>
      </c>
      <c r="F1581" s="34">
        <v>8</v>
      </c>
      <c r="I1581" s="34" t="s">
        <v>393</v>
      </c>
    </row>
    <row r="1582" spans="2:13">
      <c r="B1582" s="65" t="s">
        <v>874</v>
      </c>
      <c r="D1582" s="34" t="s">
        <v>400</v>
      </c>
      <c r="E1582" s="34">
        <v>10</v>
      </c>
      <c r="F1582" s="34">
        <v>1</v>
      </c>
      <c r="I1582" s="34" t="s">
        <v>393</v>
      </c>
    </row>
    <row r="1583" spans="2:13">
      <c r="B1583" s="65" t="s">
        <v>874</v>
      </c>
      <c r="D1583" s="34" t="s">
        <v>401</v>
      </c>
      <c r="E1583" s="34">
        <v>11</v>
      </c>
      <c r="F1583" s="34">
        <v>1</v>
      </c>
      <c r="I1583" s="34" t="s">
        <v>393</v>
      </c>
    </row>
    <row r="1584" spans="2:13">
      <c r="B1584" s="65" t="s">
        <v>874</v>
      </c>
      <c r="D1584" s="34" t="s">
        <v>402</v>
      </c>
      <c r="E1584" s="34">
        <v>12</v>
      </c>
      <c r="F1584" s="34">
        <v>1</v>
      </c>
      <c r="I1584" s="34" t="s">
        <v>393</v>
      </c>
    </row>
    <row r="1585" spans="1:13">
      <c r="B1585" s="65" t="s">
        <v>874</v>
      </c>
      <c r="D1585" s="34" t="s">
        <v>403</v>
      </c>
      <c r="E1585" s="34">
        <v>13</v>
      </c>
      <c r="F1585" s="34">
        <v>1</v>
      </c>
      <c r="I1585" s="34" t="s">
        <v>393</v>
      </c>
    </row>
    <row r="1586" spans="1:13">
      <c r="B1586" s="65" t="s">
        <v>874</v>
      </c>
      <c r="D1586" s="34" t="s">
        <v>404</v>
      </c>
      <c r="E1586" s="34">
        <v>14</v>
      </c>
      <c r="F1586" s="34">
        <v>1</v>
      </c>
      <c r="I1586" s="34" t="s">
        <v>393</v>
      </c>
    </row>
    <row r="1587" spans="1:13">
      <c r="B1587" s="63"/>
      <c r="C1587" s="63"/>
    </row>
    <row r="1588" spans="1:13">
      <c r="A1588" s="36"/>
      <c r="B1588" s="36"/>
      <c r="C1588" s="39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</row>
    <row r="1589" spans="1:13">
      <c r="A1589" s="36"/>
      <c r="B1589" s="36" t="s">
        <v>425</v>
      </c>
      <c r="C1589" s="39"/>
      <c r="D1589" s="39" t="s">
        <v>430</v>
      </c>
      <c r="E1589" s="36">
        <v>0</v>
      </c>
      <c r="F1589" s="36">
        <v>2</v>
      </c>
      <c r="G1589" s="36"/>
      <c r="H1589" s="36"/>
      <c r="I1589" s="36" t="s">
        <v>393</v>
      </c>
      <c r="J1589" s="36"/>
      <c r="K1589" s="36"/>
      <c r="L1589" s="36"/>
      <c r="M1589" s="36"/>
    </row>
    <row r="1590" spans="1:13">
      <c r="A1590" s="36"/>
      <c r="B1590" s="36" t="s">
        <v>425</v>
      </c>
      <c r="C1590" s="39"/>
      <c r="D1590" s="36"/>
      <c r="E1590" s="36">
        <v>0</v>
      </c>
      <c r="F1590" s="36">
        <v>2</v>
      </c>
      <c r="G1590" s="36"/>
      <c r="H1590" s="36"/>
      <c r="I1590" s="36" t="s">
        <v>323</v>
      </c>
      <c r="J1590" s="36"/>
      <c r="K1590" s="36"/>
      <c r="L1590" s="36">
        <v>0</v>
      </c>
      <c r="M1590" s="36" t="s">
        <v>426</v>
      </c>
    </row>
    <row r="1591" spans="1:13">
      <c r="A1591" s="36"/>
      <c r="B1591" s="36" t="s">
        <v>425</v>
      </c>
      <c r="C1591" s="39"/>
      <c r="D1591" s="36"/>
      <c r="E1591" s="36">
        <v>0</v>
      </c>
      <c r="F1591" s="36">
        <v>2</v>
      </c>
      <c r="G1591" s="36"/>
      <c r="H1591" s="36"/>
      <c r="I1591" s="36" t="s">
        <v>323</v>
      </c>
      <c r="J1591" s="36"/>
      <c r="K1591" s="36"/>
      <c r="L1591" s="36">
        <v>1</v>
      </c>
      <c r="M1591" s="36" t="s">
        <v>427</v>
      </c>
    </row>
    <row r="1592" spans="1:13">
      <c r="A1592" s="36"/>
      <c r="B1592" s="36" t="s">
        <v>425</v>
      </c>
      <c r="C1592" s="39"/>
      <c r="D1592" s="36"/>
      <c r="E1592" s="36">
        <v>0</v>
      </c>
      <c r="F1592" s="36">
        <v>2</v>
      </c>
      <c r="G1592" s="36"/>
      <c r="H1592" s="36"/>
      <c r="I1592" s="36" t="s">
        <v>323</v>
      </c>
      <c r="J1592" s="36"/>
      <c r="K1592" s="36"/>
      <c r="L1592" s="36">
        <v>2</v>
      </c>
      <c r="M1592" s="36" t="s">
        <v>428</v>
      </c>
    </row>
    <row r="1593" spans="1:13">
      <c r="A1593" s="36"/>
      <c r="B1593" s="36" t="s">
        <v>425</v>
      </c>
      <c r="C1593" s="39"/>
      <c r="D1593" s="36"/>
      <c r="E1593" s="36">
        <v>0</v>
      </c>
      <c r="F1593" s="36">
        <v>2</v>
      </c>
      <c r="G1593" s="36"/>
      <c r="H1593" s="36"/>
      <c r="I1593" s="36" t="s">
        <v>323</v>
      </c>
      <c r="J1593" s="36"/>
      <c r="K1593" s="36"/>
      <c r="L1593" s="36">
        <v>3</v>
      </c>
      <c r="M1593" s="36" t="s">
        <v>429</v>
      </c>
    </row>
    <row r="1594" spans="1:13">
      <c r="A1594" s="36"/>
      <c r="B1594" s="36" t="s">
        <v>425</v>
      </c>
      <c r="C1594" s="39"/>
      <c r="D1594" s="36" t="s">
        <v>431</v>
      </c>
      <c r="E1594" s="36">
        <v>2</v>
      </c>
      <c r="F1594" s="36">
        <v>1</v>
      </c>
      <c r="G1594" s="36"/>
      <c r="H1594" s="36"/>
      <c r="I1594" s="36" t="s">
        <v>393</v>
      </c>
      <c r="J1594" s="36"/>
      <c r="K1594" s="36"/>
      <c r="L1594" s="36"/>
      <c r="M1594" s="36"/>
    </row>
    <row r="1595" spans="1:13">
      <c r="A1595" s="36"/>
      <c r="B1595" s="36" t="s">
        <v>425</v>
      </c>
      <c r="C1595" s="39"/>
      <c r="D1595" s="36" t="s">
        <v>432</v>
      </c>
      <c r="E1595" s="36">
        <f>E1594+F1594</f>
        <v>3</v>
      </c>
      <c r="F1595" s="36">
        <v>1</v>
      </c>
      <c r="G1595" s="36"/>
      <c r="H1595" s="36"/>
      <c r="I1595" s="36" t="s">
        <v>393</v>
      </c>
      <c r="J1595" s="36"/>
      <c r="K1595" s="36"/>
      <c r="L1595" s="36"/>
      <c r="M1595" s="36"/>
    </row>
    <row r="1596" spans="1:13">
      <c r="A1596" s="36"/>
      <c r="B1596" s="36" t="s">
        <v>425</v>
      </c>
      <c r="C1596" s="39"/>
      <c r="D1596" s="36" t="s">
        <v>433</v>
      </c>
      <c r="E1596" s="36">
        <f t="shared" ref="E1596:E1599" si="16">E1595+F1595</f>
        <v>4</v>
      </c>
      <c r="F1596" s="36">
        <v>1</v>
      </c>
      <c r="G1596" s="36"/>
      <c r="H1596" s="36"/>
      <c r="I1596" s="36" t="s">
        <v>393</v>
      </c>
      <c r="J1596" s="36"/>
      <c r="K1596" s="36"/>
      <c r="L1596" s="36"/>
      <c r="M1596" s="36"/>
    </row>
    <row r="1597" spans="1:13">
      <c r="A1597" s="36"/>
      <c r="B1597" s="36" t="s">
        <v>425</v>
      </c>
      <c r="C1597" s="39"/>
      <c r="D1597" s="36" t="s">
        <v>434</v>
      </c>
      <c r="E1597" s="36">
        <f t="shared" si="16"/>
        <v>5</v>
      </c>
      <c r="F1597" s="36">
        <v>1</v>
      </c>
      <c r="G1597" s="36"/>
      <c r="H1597" s="36"/>
      <c r="I1597" s="36" t="s">
        <v>393</v>
      </c>
      <c r="J1597" s="36"/>
      <c r="K1597" s="36"/>
      <c r="L1597" s="36"/>
      <c r="M1597" s="36"/>
    </row>
    <row r="1598" spans="1:13">
      <c r="A1598" s="36"/>
      <c r="B1598" s="36" t="s">
        <v>425</v>
      </c>
      <c r="C1598" s="39"/>
      <c r="D1598" s="36" t="s">
        <v>435</v>
      </c>
      <c r="E1598" s="36">
        <f t="shared" si="16"/>
        <v>6</v>
      </c>
      <c r="F1598" s="36">
        <v>1</v>
      </c>
      <c r="G1598" s="36"/>
      <c r="H1598" s="36"/>
      <c r="I1598" s="36" t="s">
        <v>393</v>
      </c>
      <c r="J1598" s="36"/>
      <c r="K1598" s="36"/>
      <c r="L1598" s="36"/>
      <c r="M1598" s="36"/>
    </row>
    <row r="1599" spans="1:13">
      <c r="A1599" s="36"/>
      <c r="B1599" s="36" t="s">
        <v>425</v>
      </c>
      <c r="C1599" s="39"/>
      <c r="D1599" s="36" t="s">
        <v>436</v>
      </c>
      <c r="E1599" s="36">
        <f t="shared" si="16"/>
        <v>7</v>
      </c>
      <c r="F1599" s="36">
        <v>1</v>
      </c>
      <c r="G1599" s="36"/>
      <c r="H1599" s="36"/>
      <c r="I1599" s="36" t="s">
        <v>393</v>
      </c>
      <c r="J1599" s="36"/>
      <c r="K1599" s="36"/>
      <c r="L1599" s="36"/>
      <c r="M1599" s="36"/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utText">
                <anchor moveWithCells="1" sizeWithCells="1">
                  <from>
                    <xdr:col>1</xdr:col>
                    <xdr:colOff>1133475</xdr:colOff>
                    <xdr:row>0</xdr:row>
                    <xdr:rowOff>76200</xdr:rowOff>
                  </from>
                  <to>
                    <xdr:col>1</xdr:col>
                    <xdr:colOff>1952625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B2147-803A-4EF7-81AC-39E2B7C2248C}">
  <sheetPr codeName="Sheet4"/>
  <dimension ref="A2:AMM587"/>
  <sheetViews>
    <sheetView topLeftCell="A7" zoomScaleNormal="100" workbookViewId="0">
      <selection activeCell="B24" sqref="A2:I33"/>
    </sheetView>
  </sheetViews>
  <sheetFormatPr defaultColWidth="9.85546875" defaultRowHeight="15"/>
  <cols>
    <col min="1" max="1" width="5.5703125" style="67" customWidth="1"/>
    <col min="2" max="2" width="73" style="70" customWidth="1"/>
    <col min="3" max="9" width="12" style="67" customWidth="1"/>
    <col min="10" max="16384" width="9.85546875" style="67"/>
  </cols>
  <sheetData>
    <row r="2" spans="1:10 1027:1027" s="68" customFormat="1">
      <c r="A2" s="29">
        <v>3</v>
      </c>
      <c r="B2" s="29" t="s">
        <v>911</v>
      </c>
      <c r="C2" s="29">
        <v>13057</v>
      </c>
      <c r="D2" s="29">
        <v>13175</v>
      </c>
      <c r="E2" s="29">
        <f>D2-C2 + 1</f>
        <v>119</v>
      </c>
      <c r="F2" s="29"/>
      <c r="G2" s="29" t="s">
        <v>277</v>
      </c>
      <c r="H2" s="29">
        <v>17003</v>
      </c>
      <c r="I2" s="29">
        <v>125</v>
      </c>
    </row>
    <row r="3" spans="1:10 1027:1027" s="68" customFormat="1">
      <c r="A3" s="29">
        <v>3</v>
      </c>
      <c r="B3" s="29" t="s">
        <v>912</v>
      </c>
      <c r="C3">
        <v>13569</v>
      </c>
      <c r="D3">
        <v>13689</v>
      </c>
      <c r="E3" s="29">
        <f>D3-C3 + 1</f>
        <v>121</v>
      </c>
      <c r="F3" s="29"/>
      <c r="G3" s="29"/>
      <c r="H3" s="29"/>
      <c r="I3" s="29"/>
    </row>
    <row r="4" spans="1:10 1027:1027" s="68" customFormat="1">
      <c r="A4" s="29">
        <v>3</v>
      </c>
      <c r="B4" s="29" t="s">
        <v>913</v>
      </c>
      <c r="C4">
        <v>13825</v>
      </c>
      <c r="D4">
        <v>13945</v>
      </c>
      <c r="E4" s="29">
        <f>D4-C4 + 1</f>
        <v>121</v>
      </c>
      <c r="F4" s="29"/>
      <c r="G4" s="29"/>
      <c r="H4" s="29"/>
      <c r="I4" s="29"/>
    </row>
    <row r="5" spans="1:10 1027:1027" s="68" customFormat="1" ht="30">
      <c r="A5" s="29">
        <v>3</v>
      </c>
      <c r="B5" s="70" t="s">
        <v>914</v>
      </c>
      <c r="C5" s="29">
        <v>16385</v>
      </c>
      <c r="D5" s="29">
        <v>16450</v>
      </c>
      <c r="E5" s="29">
        <f>D5-C5 + 1</f>
        <v>66</v>
      </c>
      <c r="F5" s="29"/>
      <c r="G5" s="29" t="s">
        <v>277</v>
      </c>
      <c r="H5" s="29">
        <v>17003</v>
      </c>
      <c r="I5" s="29">
        <v>125</v>
      </c>
    </row>
    <row r="6" spans="1:10 1027:1027" s="68" customFormat="1" ht="30">
      <c r="A6" s="29">
        <v>3</v>
      </c>
      <c r="B6" s="29" t="s">
        <v>915</v>
      </c>
      <c r="C6">
        <v>17409</v>
      </c>
      <c r="D6">
        <v>17431</v>
      </c>
      <c r="E6" s="29">
        <f t="shared" ref="E6:E29" si="0">D6-C6 + 1</f>
        <v>23</v>
      </c>
      <c r="F6" s="29"/>
      <c r="G6" s="29" t="s">
        <v>277</v>
      </c>
      <c r="H6" s="29">
        <v>17003</v>
      </c>
      <c r="I6" s="29">
        <v>125</v>
      </c>
    </row>
    <row r="7" spans="1:10 1027:1027" s="68" customFormat="1" ht="30">
      <c r="A7" s="29">
        <v>16</v>
      </c>
      <c r="B7" s="29" t="s">
        <v>915</v>
      </c>
      <c r="C7" s="66">
        <v>17409</v>
      </c>
      <c r="D7" s="66">
        <v>17431</v>
      </c>
      <c r="E7" s="29">
        <f t="shared" ref="E7" si="1">D7-C7 + 1</f>
        <v>23</v>
      </c>
      <c r="F7" s="29" t="s">
        <v>916</v>
      </c>
      <c r="G7" s="29" t="s">
        <v>277</v>
      </c>
      <c r="H7" s="29">
        <v>17003</v>
      </c>
      <c r="I7" s="29">
        <v>125</v>
      </c>
    </row>
    <row r="8" spans="1:10 1027:1027" s="68" customFormat="1" ht="30">
      <c r="A8" s="29">
        <v>3</v>
      </c>
      <c r="B8" s="29" t="s">
        <v>917</v>
      </c>
      <c r="C8">
        <v>17665</v>
      </c>
      <c r="D8">
        <v>17686</v>
      </c>
      <c r="E8" s="29">
        <f t="shared" si="0"/>
        <v>22</v>
      </c>
      <c r="F8" s="29"/>
      <c r="G8" s="29" t="s">
        <v>277</v>
      </c>
      <c r="H8" s="29">
        <v>17003</v>
      </c>
      <c r="I8" s="29">
        <v>125</v>
      </c>
      <c r="J8" s="69"/>
      <c r="AMM8" s="69"/>
    </row>
    <row r="9" spans="1:10 1027:1027" s="68" customFormat="1" ht="30">
      <c r="A9" s="29">
        <v>3</v>
      </c>
      <c r="B9" s="29" t="s">
        <v>918</v>
      </c>
      <c r="C9">
        <v>18433</v>
      </c>
      <c r="D9">
        <v>18550</v>
      </c>
      <c r="E9" s="29">
        <f t="shared" si="0"/>
        <v>118</v>
      </c>
      <c r="F9" s="29"/>
      <c r="G9" s="29" t="s">
        <v>277</v>
      </c>
      <c r="H9" s="29">
        <v>17003</v>
      </c>
      <c r="I9" s="29">
        <v>125</v>
      </c>
      <c r="J9" s="69"/>
    </row>
    <row r="10" spans="1:10 1027:1027" s="68" customFormat="1" ht="30">
      <c r="A10" s="29">
        <v>3</v>
      </c>
      <c r="B10" s="29" t="s">
        <v>919</v>
      </c>
      <c r="C10">
        <v>18689</v>
      </c>
      <c r="D10">
        <v>18775</v>
      </c>
      <c r="E10" s="29">
        <f t="shared" si="0"/>
        <v>87</v>
      </c>
      <c r="F10" s="29"/>
      <c r="G10" s="29" t="s">
        <v>277</v>
      </c>
      <c r="H10" s="29">
        <v>17003</v>
      </c>
      <c r="I10" s="29">
        <v>125</v>
      </c>
    </row>
    <row r="11" spans="1:10 1027:1027" s="68" customFormat="1">
      <c r="A11" s="29">
        <v>3</v>
      </c>
      <c r="B11" s="29" t="s">
        <v>737</v>
      </c>
      <c r="C11" s="29">
        <v>18945</v>
      </c>
      <c r="D11" s="29">
        <v>19012</v>
      </c>
      <c r="E11" s="29">
        <f t="shared" si="0"/>
        <v>68</v>
      </c>
      <c r="F11" s="29"/>
      <c r="G11" s="29" t="s">
        <v>277</v>
      </c>
      <c r="H11" s="29">
        <v>17003</v>
      </c>
      <c r="I11" s="29">
        <v>125</v>
      </c>
    </row>
    <row r="12" spans="1:10 1027:1027" s="68" customFormat="1" ht="30">
      <c r="A12" s="29">
        <v>3</v>
      </c>
      <c r="B12" s="29" t="s">
        <v>920</v>
      </c>
      <c r="C12">
        <v>19457</v>
      </c>
      <c r="D12" s="29">
        <v>19502</v>
      </c>
      <c r="E12" s="29">
        <f t="shared" si="0"/>
        <v>46</v>
      </c>
      <c r="F12" s="29"/>
      <c r="G12" s="29" t="s">
        <v>277</v>
      </c>
      <c r="H12" s="29">
        <v>17003</v>
      </c>
      <c r="I12" s="29">
        <v>125</v>
      </c>
    </row>
    <row r="13" spans="1:10 1027:1027" s="68" customFormat="1">
      <c r="A13" s="29">
        <v>3</v>
      </c>
      <c r="B13" s="29" t="s">
        <v>742</v>
      </c>
      <c r="C13" s="29">
        <v>19713</v>
      </c>
      <c r="D13" s="29">
        <v>19741</v>
      </c>
      <c r="E13" s="29">
        <f t="shared" si="0"/>
        <v>29</v>
      </c>
      <c r="F13" s="29"/>
      <c r="G13" s="29" t="s">
        <v>277</v>
      </c>
      <c r="H13" s="29">
        <v>17003</v>
      </c>
      <c r="I13" s="29">
        <v>125</v>
      </c>
    </row>
    <row r="14" spans="1:10 1027:1027" s="68" customFormat="1" ht="30">
      <c r="A14" s="29">
        <v>3</v>
      </c>
      <c r="B14" s="29" t="s">
        <v>921</v>
      </c>
      <c r="C14" s="29">
        <v>23297</v>
      </c>
      <c r="D14">
        <v>23338</v>
      </c>
      <c r="E14" s="29">
        <f t="shared" si="0"/>
        <v>42</v>
      </c>
      <c r="F14" s="29"/>
      <c r="G14" s="29" t="s">
        <v>277</v>
      </c>
      <c r="H14" s="29">
        <v>17003</v>
      </c>
      <c r="I14" s="29">
        <v>125</v>
      </c>
    </row>
    <row r="15" spans="1:10 1027:1027" s="68" customFormat="1" ht="30">
      <c r="A15" s="29">
        <v>3</v>
      </c>
      <c r="B15" s="29" t="s">
        <v>922</v>
      </c>
      <c r="C15" s="29">
        <v>23553</v>
      </c>
      <c r="D15">
        <v>23648</v>
      </c>
      <c r="E15" s="29">
        <f t="shared" si="0"/>
        <v>96</v>
      </c>
      <c r="F15" s="29"/>
      <c r="G15" s="29" t="s">
        <v>277</v>
      </c>
      <c r="H15" s="29">
        <v>17003</v>
      </c>
      <c r="I15" s="29">
        <v>125</v>
      </c>
    </row>
    <row r="16" spans="1:10 1027:1027" s="68" customFormat="1" ht="30">
      <c r="A16" s="29"/>
      <c r="B16" s="29" t="s">
        <v>923</v>
      </c>
      <c r="C16">
        <v>23809</v>
      </c>
      <c r="D16">
        <v>23822</v>
      </c>
      <c r="E16" s="29">
        <f t="shared" si="0"/>
        <v>14</v>
      </c>
      <c r="F16" s="29"/>
      <c r="G16" s="29"/>
      <c r="H16" s="29"/>
      <c r="I16" s="29"/>
    </row>
    <row r="17" spans="1:9" s="68" customFormat="1" ht="30">
      <c r="A17" s="29">
        <v>3</v>
      </c>
      <c r="B17" s="70" t="s">
        <v>924</v>
      </c>
      <c r="C17" s="29">
        <v>24065</v>
      </c>
      <c r="D17">
        <v>24163</v>
      </c>
      <c r="E17" s="29">
        <f t="shared" si="0"/>
        <v>99</v>
      </c>
      <c r="F17" s="29"/>
      <c r="G17" s="29" t="s">
        <v>277</v>
      </c>
      <c r="H17" s="29">
        <v>17003</v>
      </c>
      <c r="I17" s="29">
        <v>125</v>
      </c>
    </row>
    <row r="18" spans="1:9" s="68" customFormat="1" ht="30">
      <c r="A18" s="29">
        <v>3</v>
      </c>
      <c r="B18" s="29" t="s">
        <v>925</v>
      </c>
      <c r="C18">
        <v>24833</v>
      </c>
      <c r="D18">
        <v>24943</v>
      </c>
      <c r="E18" s="29">
        <f t="shared" si="0"/>
        <v>111</v>
      </c>
      <c r="F18" s="29"/>
      <c r="G18" s="29" t="s">
        <v>277</v>
      </c>
      <c r="H18" s="29">
        <v>17003</v>
      </c>
      <c r="I18" s="29">
        <v>125</v>
      </c>
    </row>
    <row r="19" spans="1:9" s="68" customFormat="1" ht="30">
      <c r="A19" s="29">
        <v>3</v>
      </c>
      <c r="B19" s="29" t="s">
        <v>926</v>
      </c>
      <c r="C19" s="29">
        <v>25601</v>
      </c>
      <c r="D19">
        <v>25649</v>
      </c>
      <c r="E19" s="29">
        <f t="shared" si="0"/>
        <v>49</v>
      </c>
      <c r="F19" s="29"/>
      <c r="G19" s="29" t="s">
        <v>277</v>
      </c>
      <c r="H19" s="29">
        <v>17003</v>
      </c>
      <c r="I19" s="29">
        <v>125</v>
      </c>
    </row>
    <row r="20" spans="1:9" s="68" customFormat="1" ht="30">
      <c r="A20" s="29">
        <v>3</v>
      </c>
      <c r="B20" s="29" t="s">
        <v>934</v>
      </c>
      <c r="C20" s="29">
        <v>32769</v>
      </c>
      <c r="D20">
        <v>32820</v>
      </c>
      <c r="E20" s="29">
        <f t="shared" si="0"/>
        <v>52</v>
      </c>
      <c r="F20" s="29"/>
      <c r="G20" s="29" t="s">
        <v>277</v>
      </c>
      <c r="H20" s="29">
        <v>17003</v>
      </c>
      <c r="I20" s="29">
        <v>125</v>
      </c>
    </row>
    <row r="21" spans="1:9" s="68" customFormat="1" ht="45">
      <c r="A21" s="29">
        <v>16</v>
      </c>
      <c r="B21" s="29" t="s">
        <v>927</v>
      </c>
      <c r="C21" s="29">
        <v>32769</v>
      </c>
      <c r="D21" s="66">
        <v>32820</v>
      </c>
      <c r="E21" s="29">
        <f t="shared" ref="E21" si="2">D21-C21 + 1</f>
        <v>52</v>
      </c>
      <c r="F21" s="29" t="s">
        <v>916</v>
      </c>
      <c r="G21" s="29" t="s">
        <v>277</v>
      </c>
      <c r="H21" s="29">
        <v>17003</v>
      </c>
      <c r="I21" s="29">
        <v>125</v>
      </c>
    </row>
    <row r="22" spans="1:9" s="68" customFormat="1" ht="30">
      <c r="A22" s="29">
        <v>3</v>
      </c>
      <c r="B22" s="29" t="s">
        <v>824</v>
      </c>
      <c r="C22" s="29">
        <v>33025</v>
      </c>
      <c r="D22">
        <v>33094</v>
      </c>
      <c r="E22" s="29">
        <f t="shared" si="0"/>
        <v>70</v>
      </c>
      <c r="F22" s="29"/>
      <c r="G22" s="29" t="s">
        <v>277</v>
      </c>
      <c r="H22" s="29">
        <v>17003</v>
      </c>
      <c r="I22" s="29">
        <v>125</v>
      </c>
    </row>
    <row r="23" spans="1:9" s="68" customFormat="1" ht="45">
      <c r="A23" s="29">
        <v>3</v>
      </c>
      <c r="B23" s="29" t="s">
        <v>928</v>
      </c>
      <c r="C23">
        <v>33281</v>
      </c>
      <c r="D23">
        <v>33354</v>
      </c>
      <c r="E23" s="29">
        <f t="shared" si="0"/>
        <v>74</v>
      </c>
      <c r="F23" s="29"/>
      <c r="G23" s="29" t="s">
        <v>277</v>
      </c>
      <c r="H23" s="29">
        <v>17003</v>
      </c>
      <c r="I23" s="29">
        <v>125</v>
      </c>
    </row>
    <row r="24" spans="1:9" s="68" customFormat="1" ht="45">
      <c r="A24" s="29">
        <v>16</v>
      </c>
      <c r="B24" s="29" t="s">
        <v>928</v>
      </c>
      <c r="C24" s="66">
        <v>33281</v>
      </c>
      <c r="D24" s="66">
        <v>33354</v>
      </c>
      <c r="E24" s="29">
        <f t="shared" ref="E24" si="3">D24-C24 + 1</f>
        <v>74</v>
      </c>
      <c r="F24" s="29"/>
      <c r="G24" s="29" t="s">
        <v>277</v>
      </c>
      <c r="H24" s="29">
        <v>17003</v>
      </c>
      <c r="I24" s="29">
        <v>125</v>
      </c>
    </row>
    <row r="25" spans="1:9" s="68" customFormat="1" ht="45">
      <c r="A25" s="29">
        <v>3</v>
      </c>
      <c r="B25" s="29" t="s">
        <v>929</v>
      </c>
      <c r="C25" s="29">
        <v>33537</v>
      </c>
      <c r="D25">
        <v>33564</v>
      </c>
      <c r="E25" s="29">
        <f t="shared" ref="E25" si="4">D25-C25 + 1</f>
        <v>28</v>
      </c>
      <c r="F25" s="29"/>
      <c r="G25" s="29" t="s">
        <v>277</v>
      </c>
      <c r="H25" s="29">
        <v>17003</v>
      </c>
      <c r="I25" s="29">
        <v>125</v>
      </c>
    </row>
    <row r="26" spans="1:9" s="68" customFormat="1" ht="30">
      <c r="A26" s="29">
        <v>3</v>
      </c>
      <c r="B26" s="29" t="s">
        <v>930</v>
      </c>
      <c r="C26">
        <v>40961</v>
      </c>
      <c r="D26">
        <v>40998</v>
      </c>
      <c r="E26" s="29">
        <f t="shared" si="0"/>
        <v>38</v>
      </c>
      <c r="F26" s="29"/>
      <c r="G26" s="29" t="s">
        <v>277</v>
      </c>
      <c r="H26" s="29">
        <v>17003</v>
      </c>
      <c r="I26" s="29">
        <v>125</v>
      </c>
    </row>
    <row r="27" spans="1:9" s="68" customFormat="1" ht="45">
      <c r="A27" s="29">
        <v>3</v>
      </c>
      <c r="B27" s="29" t="s">
        <v>931</v>
      </c>
      <c r="C27">
        <v>41217</v>
      </c>
      <c r="D27">
        <v>41297</v>
      </c>
      <c r="E27" s="29">
        <f t="shared" si="0"/>
        <v>81</v>
      </c>
      <c r="F27" s="29"/>
      <c r="G27" s="29" t="s">
        <v>277</v>
      </c>
      <c r="H27" s="29">
        <v>17003</v>
      </c>
      <c r="I27" s="29">
        <v>125</v>
      </c>
    </row>
    <row r="28" spans="1:9" s="68" customFormat="1" ht="30">
      <c r="A28" s="29">
        <v>3</v>
      </c>
      <c r="B28" s="29" t="s">
        <v>932</v>
      </c>
      <c r="C28" s="29">
        <v>41473</v>
      </c>
      <c r="D28" s="29">
        <v>41510</v>
      </c>
      <c r="E28" s="29">
        <f t="shared" si="0"/>
        <v>38</v>
      </c>
      <c r="F28" s="29"/>
      <c r="G28" s="29" t="s">
        <v>277</v>
      </c>
      <c r="H28" s="29">
        <v>17003</v>
      </c>
      <c r="I28" s="29">
        <v>125</v>
      </c>
    </row>
    <row r="29" spans="1:9" s="68" customFormat="1">
      <c r="A29" s="29">
        <v>3</v>
      </c>
      <c r="B29" s="29" t="s">
        <v>854</v>
      </c>
      <c r="C29">
        <v>41729</v>
      </c>
      <c r="D29">
        <v>41850</v>
      </c>
      <c r="E29" s="29">
        <f t="shared" si="0"/>
        <v>122</v>
      </c>
    </row>
    <row r="30" spans="1:9" s="68" customFormat="1" ht="30">
      <c r="A30" s="29">
        <v>3</v>
      </c>
      <c r="B30" s="29" t="s">
        <v>933</v>
      </c>
      <c r="C30">
        <v>42241</v>
      </c>
      <c r="D30">
        <v>42337</v>
      </c>
      <c r="E30" s="29">
        <f>D30-C30 + 1</f>
        <v>97</v>
      </c>
      <c r="F30" s="29"/>
      <c r="G30" s="29" t="s">
        <v>277</v>
      </c>
      <c r="H30" s="29">
        <v>17003</v>
      </c>
      <c r="I30" s="29">
        <v>125</v>
      </c>
    </row>
    <row r="31" spans="1:9" s="68" customFormat="1">
      <c r="A31" s="29">
        <v>3</v>
      </c>
      <c r="B31" s="29" t="s">
        <v>860</v>
      </c>
      <c r="C31">
        <v>42497</v>
      </c>
      <c r="D31">
        <v>42600</v>
      </c>
      <c r="E31" s="29">
        <f>D31-C31 + 1</f>
        <v>104</v>
      </c>
    </row>
    <row r="32" spans="1:9" s="68" customFormat="1">
      <c r="A32" s="29">
        <v>3</v>
      </c>
      <c r="B32" s="29" t="s">
        <v>863</v>
      </c>
      <c r="C32">
        <v>42753</v>
      </c>
      <c r="D32">
        <v>42799</v>
      </c>
      <c r="E32" s="29">
        <f>D32-C32 + 1</f>
        <v>47</v>
      </c>
      <c r="H32" s="67"/>
    </row>
    <row r="33" spans="2:9" s="68" customFormat="1">
      <c r="B33" s="70"/>
      <c r="C33" s="29"/>
      <c r="D33" s="29"/>
      <c r="E33" s="29">
        <f>SUM(E2:E32)</f>
        <v>2131</v>
      </c>
      <c r="F33" s="29"/>
      <c r="G33" s="66"/>
      <c r="H33" s="66"/>
      <c r="I33" s="66"/>
    </row>
    <row r="34" spans="2:9" s="68" customFormat="1">
      <c r="B34" s="70"/>
      <c r="C34" s="67"/>
      <c r="D34" s="70"/>
      <c r="H34" s="67"/>
    </row>
    <row r="35" spans="2:9" s="68" customFormat="1">
      <c r="B35" s="70"/>
      <c r="C35" s="67"/>
      <c r="H35" s="67"/>
    </row>
    <row r="36" spans="2:9" s="68" customFormat="1">
      <c r="B36" s="70"/>
      <c r="C36" s="67"/>
      <c r="H36" s="67"/>
    </row>
    <row r="37" spans="2:9" s="68" customFormat="1">
      <c r="B37" s="70"/>
      <c r="C37" s="67"/>
      <c r="H37" s="67"/>
    </row>
    <row r="38" spans="2:9" s="68" customFormat="1">
      <c r="B38" s="70"/>
      <c r="C38" s="67"/>
      <c r="H38" s="67"/>
    </row>
    <row r="39" spans="2:9" s="68" customFormat="1">
      <c r="B39" s="70"/>
      <c r="C39" s="67"/>
      <c r="H39" s="67"/>
    </row>
    <row r="40" spans="2:9" s="68" customFormat="1">
      <c r="B40" s="70"/>
      <c r="C40" s="67"/>
      <c r="H40" s="67"/>
    </row>
    <row r="41" spans="2:9" s="68" customFormat="1">
      <c r="B41" s="70"/>
      <c r="C41" s="67"/>
      <c r="H41" s="67"/>
    </row>
    <row r="42" spans="2:9" s="68" customFormat="1">
      <c r="B42" s="70"/>
      <c r="C42" s="67"/>
      <c r="H42" s="67"/>
    </row>
    <row r="43" spans="2:9" s="68" customFormat="1">
      <c r="B43" s="70"/>
      <c r="C43" s="67"/>
      <c r="H43" s="67"/>
    </row>
    <row r="44" spans="2:9" s="68" customFormat="1">
      <c r="B44" s="70"/>
      <c r="C44" s="67"/>
      <c r="H44" s="67"/>
    </row>
    <row r="45" spans="2:9" s="68" customFormat="1">
      <c r="B45" s="70"/>
      <c r="C45" s="67"/>
      <c r="H45" s="67"/>
    </row>
    <row r="46" spans="2:9" s="68" customFormat="1">
      <c r="B46" s="70"/>
      <c r="C46" s="67"/>
      <c r="H46" s="67"/>
    </row>
    <row r="47" spans="2:9" s="68" customFormat="1">
      <c r="B47" s="70"/>
      <c r="C47" s="67"/>
    </row>
    <row r="48" spans="2:9" s="68" customFormat="1">
      <c r="B48" s="70"/>
      <c r="C48" s="67"/>
    </row>
    <row r="49" spans="2:8" s="68" customFormat="1">
      <c r="B49" s="70"/>
      <c r="C49" s="67"/>
    </row>
    <row r="50" spans="2:8" s="68" customFormat="1">
      <c r="B50" s="70"/>
      <c r="C50" s="67"/>
    </row>
    <row r="51" spans="2:8" s="68" customFormat="1">
      <c r="B51" s="70"/>
      <c r="C51" s="67"/>
      <c r="D51" s="70"/>
      <c r="H51" s="67"/>
    </row>
    <row r="52" spans="2:8" s="68" customFormat="1">
      <c r="B52" s="70"/>
      <c r="C52" s="67"/>
      <c r="H52" s="67"/>
    </row>
    <row r="53" spans="2:8" s="68" customFormat="1">
      <c r="B53" s="70"/>
      <c r="C53" s="67"/>
      <c r="D53" s="70"/>
      <c r="H53" s="67"/>
    </row>
    <row r="54" spans="2:8" s="68" customFormat="1">
      <c r="B54" s="70"/>
      <c r="C54" s="67"/>
    </row>
    <row r="55" spans="2:8" s="68" customFormat="1">
      <c r="B55" s="70"/>
      <c r="C55" s="67"/>
    </row>
    <row r="56" spans="2:8" s="68" customFormat="1">
      <c r="B56" s="70"/>
      <c r="C56" s="67"/>
      <c r="H56" s="67"/>
    </row>
    <row r="57" spans="2:8" s="68" customFormat="1">
      <c r="B57" s="70"/>
      <c r="C57" s="70"/>
      <c r="D57" s="70"/>
    </row>
    <row r="58" spans="2:8" s="68" customFormat="1">
      <c r="B58" s="70"/>
      <c r="C58" s="67"/>
      <c r="D58" s="70"/>
    </row>
    <row r="59" spans="2:8" s="68" customFormat="1">
      <c r="B59" s="70"/>
      <c r="C59" s="67"/>
      <c r="D59" s="70"/>
      <c r="H59" s="67"/>
    </row>
    <row r="60" spans="2:8" s="68" customFormat="1">
      <c r="B60" s="70"/>
      <c r="C60" s="67"/>
      <c r="D60" s="70"/>
      <c r="H60" s="67"/>
    </row>
    <row r="61" spans="2:8" s="68" customFormat="1">
      <c r="B61" s="70"/>
      <c r="C61" s="67"/>
      <c r="D61" s="70"/>
      <c r="H61" s="67"/>
    </row>
    <row r="62" spans="2:8" s="68" customFormat="1">
      <c r="B62" s="70"/>
      <c r="C62" s="67"/>
    </row>
    <row r="63" spans="2:8" s="68" customFormat="1">
      <c r="B63" s="70"/>
      <c r="C63" s="67"/>
    </row>
    <row r="64" spans="2:8" s="68" customFormat="1">
      <c r="B64" s="70"/>
      <c r="C64" s="67"/>
      <c r="D64" s="70"/>
      <c r="H64" s="67"/>
    </row>
    <row r="65" spans="2:8" s="68" customFormat="1">
      <c r="B65" s="70"/>
      <c r="C65" s="67"/>
      <c r="H65" s="67"/>
    </row>
    <row r="66" spans="2:8" s="68" customFormat="1">
      <c r="B66" s="70"/>
      <c r="C66" s="67"/>
      <c r="H66" s="67"/>
    </row>
    <row r="67" spans="2:8" s="68" customFormat="1">
      <c r="B67" s="70"/>
      <c r="C67" s="67"/>
      <c r="H67" s="67"/>
    </row>
    <row r="68" spans="2:8" s="68" customFormat="1">
      <c r="B68" s="70"/>
      <c r="C68" s="67"/>
    </row>
    <row r="69" spans="2:8" s="68" customFormat="1">
      <c r="B69" s="70"/>
      <c r="C69" s="67"/>
    </row>
    <row r="70" spans="2:8" s="68" customFormat="1">
      <c r="B70" s="70"/>
      <c r="C70" s="67"/>
    </row>
    <row r="71" spans="2:8" s="68" customFormat="1">
      <c r="B71" s="70"/>
      <c r="C71" s="67"/>
    </row>
    <row r="72" spans="2:8" s="68" customFormat="1">
      <c r="B72" s="70"/>
      <c r="C72" s="67"/>
    </row>
    <row r="73" spans="2:8" s="68" customFormat="1">
      <c r="B73" s="70"/>
      <c r="C73" s="67"/>
      <c r="H73" s="67"/>
    </row>
    <row r="74" spans="2:8" s="68" customFormat="1">
      <c r="B74" s="70"/>
      <c r="C74" s="67"/>
      <c r="H74" s="67"/>
    </row>
    <row r="75" spans="2:8" s="68" customFormat="1">
      <c r="B75" s="70"/>
      <c r="C75" s="67"/>
    </row>
    <row r="76" spans="2:8" s="68" customFormat="1">
      <c r="B76" s="70"/>
      <c r="C76" s="67"/>
    </row>
    <row r="77" spans="2:8" s="68" customFormat="1">
      <c r="B77" s="70"/>
      <c r="C77" s="67"/>
    </row>
    <row r="78" spans="2:8" s="68" customFormat="1">
      <c r="B78" s="70"/>
      <c r="C78" s="67"/>
    </row>
    <row r="79" spans="2:8" s="68" customFormat="1">
      <c r="B79" s="70"/>
      <c r="C79" s="67"/>
    </row>
    <row r="80" spans="2:8" s="68" customFormat="1">
      <c r="B80" s="70"/>
      <c r="C80" s="67"/>
    </row>
    <row r="81" spans="2:8" s="68" customFormat="1">
      <c r="B81" s="70"/>
      <c r="C81" s="67"/>
    </row>
    <row r="82" spans="2:8" s="68" customFormat="1">
      <c r="B82" s="70"/>
      <c r="C82" s="67"/>
    </row>
    <row r="83" spans="2:8" s="68" customFormat="1">
      <c r="B83" s="70"/>
      <c r="C83" s="67"/>
    </row>
    <row r="84" spans="2:8" s="68" customFormat="1">
      <c r="B84" s="70"/>
      <c r="C84" s="67"/>
    </row>
    <row r="85" spans="2:8" s="68" customFormat="1">
      <c r="B85" s="70"/>
      <c r="C85" s="67"/>
    </row>
    <row r="86" spans="2:8" s="68" customFormat="1">
      <c r="B86" s="70"/>
      <c r="C86" s="67"/>
    </row>
    <row r="87" spans="2:8" s="68" customFormat="1">
      <c r="B87" s="70"/>
      <c r="C87" s="67"/>
    </row>
    <row r="88" spans="2:8" s="68" customFormat="1">
      <c r="B88" s="70"/>
      <c r="C88" s="67"/>
    </row>
    <row r="89" spans="2:8" s="68" customFormat="1">
      <c r="B89" s="70"/>
      <c r="C89" s="67"/>
      <c r="H89" s="67"/>
    </row>
    <row r="90" spans="2:8" s="68" customFormat="1">
      <c r="B90" s="70"/>
      <c r="C90" s="67"/>
      <c r="H90" s="67"/>
    </row>
    <row r="91" spans="2:8" s="68" customFormat="1">
      <c r="B91" s="70"/>
      <c r="C91" s="67"/>
      <c r="H91" s="67"/>
    </row>
    <row r="92" spans="2:8" s="68" customFormat="1">
      <c r="B92" s="70"/>
      <c r="C92" s="67"/>
      <c r="H92" s="67"/>
    </row>
    <row r="93" spans="2:8" s="68" customFormat="1">
      <c r="B93" s="70"/>
      <c r="C93" s="67"/>
      <c r="H93" s="67"/>
    </row>
    <row r="94" spans="2:8" s="68" customFormat="1">
      <c r="B94" s="70"/>
      <c r="C94" s="67"/>
      <c r="H94" s="67"/>
    </row>
    <row r="95" spans="2:8" s="68" customFormat="1">
      <c r="B95" s="70"/>
      <c r="C95" s="67"/>
      <c r="H95" s="67"/>
    </row>
    <row r="96" spans="2:8" s="68" customFormat="1">
      <c r="B96" s="70"/>
      <c r="C96" s="67"/>
      <c r="H96" s="67"/>
    </row>
    <row r="97" spans="2:8" s="68" customFormat="1">
      <c r="B97" s="70"/>
      <c r="C97" s="67"/>
      <c r="H97" s="67"/>
    </row>
    <row r="98" spans="2:8" s="68" customFormat="1">
      <c r="B98" s="70"/>
      <c r="C98" s="67"/>
      <c r="H98" s="67"/>
    </row>
    <row r="99" spans="2:8" s="68" customFormat="1">
      <c r="B99" s="70"/>
      <c r="C99" s="67"/>
      <c r="H99" s="67"/>
    </row>
    <row r="100" spans="2:8" s="68" customFormat="1">
      <c r="B100" s="70"/>
      <c r="C100" s="67"/>
      <c r="H100" s="67"/>
    </row>
    <row r="101" spans="2:8" s="68" customFormat="1">
      <c r="B101" s="70"/>
      <c r="C101" s="67"/>
      <c r="H101" s="67"/>
    </row>
    <row r="102" spans="2:8" s="68" customFormat="1">
      <c r="B102" s="70"/>
      <c r="C102" s="67"/>
      <c r="D102" s="70"/>
      <c r="H102" s="67"/>
    </row>
    <row r="103" spans="2:8" s="68" customFormat="1">
      <c r="B103" s="70"/>
      <c r="C103" s="67"/>
      <c r="D103" s="70"/>
    </row>
    <row r="104" spans="2:8" s="68" customFormat="1">
      <c r="B104" s="70"/>
      <c r="C104" s="67"/>
    </row>
    <row r="105" spans="2:8" s="68" customFormat="1">
      <c r="B105" s="70"/>
      <c r="C105" s="67"/>
    </row>
    <row r="106" spans="2:8" s="68" customFormat="1">
      <c r="B106" s="70"/>
      <c r="C106" s="67"/>
      <c r="D106" s="70"/>
    </row>
    <row r="107" spans="2:8" s="68" customFormat="1">
      <c r="B107" s="70"/>
      <c r="C107" s="67"/>
    </row>
    <row r="108" spans="2:8" s="68" customFormat="1">
      <c r="B108" s="70"/>
      <c r="C108" s="67"/>
    </row>
    <row r="109" spans="2:8" s="68" customFormat="1">
      <c r="B109" s="70"/>
      <c r="C109" s="67"/>
    </row>
    <row r="110" spans="2:8" s="68" customFormat="1">
      <c r="B110" s="70"/>
      <c r="C110" s="67"/>
    </row>
    <row r="111" spans="2:8" s="68" customFormat="1">
      <c r="B111" s="70"/>
      <c r="C111" s="67"/>
    </row>
    <row r="112" spans="2:8" s="68" customFormat="1">
      <c r="B112" s="70"/>
      <c r="C112" s="67"/>
    </row>
    <row r="113" spans="2:4" s="68" customFormat="1">
      <c r="B113" s="70"/>
      <c r="C113" s="67"/>
    </row>
    <row r="114" spans="2:4" s="68" customFormat="1">
      <c r="B114" s="70"/>
      <c r="C114" s="67"/>
    </row>
    <row r="115" spans="2:4" s="68" customFormat="1">
      <c r="B115" s="70"/>
      <c r="C115" s="67"/>
    </row>
    <row r="116" spans="2:4" s="68" customFormat="1">
      <c r="B116" s="70"/>
      <c r="C116" s="67"/>
    </row>
    <row r="117" spans="2:4" s="68" customFormat="1">
      <c r="B117" s="70"/>
      <c r="C117" s="67"/>
      <c r="D117" s="70"/>
    </row>
    <row r="118" spans="2:4" s="68" customFormat="1">
      <c r="B118" s="70"/>
      <c r="C118" s="67"/>
      <c r="D118" s="70"/>
    </row>
    <row r="119" spans="2:4" s="68" customFormat="1">
      <c r="B119" s="70"/>
      <c r="C119" s="67"/>
    </row>
    <row r="120" spans="2:4" s="68" customFormat="1">
      <c r="B120" s="70"/>
      <c r="C120" s="67"/>
    </row>
    <row r="121" spans="2:4" s="68" customFormat="1">
      <c r="B121" s="70"/>
      <c r="C121" s="67"/>
    </row>
    <row r="122" spans="2:4" s="68" customFormat="1">
      <c r="B122" s="70"/>
      <c r="C122" s="67"/>
    </row>
    <row r="123" spans="2:4" s="68" customFormat="1">
      <c r="B123" s="70"/>
      <c r="C123" s="67"/>
    </row>
    <row r="124" spans="2:4" s="68" customFormat="1">
      <c r="B124" s="70"/>
      <c r="C124" s="67"/>
    </row>
    <row r="125" spans="2:4" s="68" customFormat="1">
      <c r="B125" s="70"/>
      <c r="C125" s="67"/>
    </row>
    <row r="126" spans="2:4" s="68" customFormat="1">
      <c r="B126" s="70"/>
      <c r="C126" s="67"/>
    </row>
    <row r="127" spans="2:4" s="68" customFormat="1">
      <c r="B127" s="70"/>
      <c r="C127" s="67"/>
    </row>
    <row r="128" spans="2:4" s="68" customFormat="1">
      <c r="B128" s="70"/>
      <c r="C128" s="67"/>
    </row>
    <row r="129" spans="2:10" s="68" customFormat="1">
      <c r="B129" s="70"/>
      <c r="C129" s="67"/>
      <c r="D129" s="70"/>
    </row>
    <row r="130" spans="2:10" s="68" customFormat="1">
      <c r="B130" s="70"/>
      <c r="C130" s="67"/>
    </row>
    <row r="131" spans="2:10" s="68" customFormat="1">
      <c r="B131" s="70"/>
      <c r="C131" s="67"/>
      <c r="D131" s="70"/>
    </row>
    <row r="132" spans="2:10" s="68" customFormat="1">
      <c r="B132" s="70"/>
      <c r="C132" s="67"/>
    </row>
    <row r="133" spans="2:10" s="68" customFormat="1">
      <c r="B133" s="70"/>
      <c r="C133" s="67"/>
    </row>
    <row r="134" spans="2:10" s="68" customFormat="1">
      <c r="B134" s="70"/>
      <c r="C134" s="67"/>
      <c r="D134" s="70"/>
      <c r="J134" s="67"/>
    </row>
    <row r="135" spans="2:10" s="68" customFormat="1">
      <c r="B135" s="70"/>
      <c r="C135" s="67"/>
      <c r="J135" s="67"/>
    </row>
    <row r="136" spans="2:10" s="68" customFormat="1">
      <c r="B136" s="70"/>
      <c r="C136" s="67"/>
      <c r="J136" s="67"/>
    </row>
    <row r="137" spans="2:10" s="68" customFormat="1">
      <c r="B137" s="70"/>
      <c r="C137" s="67"/>
      <c r="J137" s="67"/>
    </row>
    <row r="138" spans="2:10" s="68" customFormat="1">
      <c r="B138" s="70"/>
      <c r="C138" s="67"/>
      <c r="J138" s="67"/>
    </row>
    <row r="139" spans="2:10" s="68" customFormat="1">
      <c r="B139" s="70"/>
      <c r="C139" s="67"/>
      <c r="J139" s="67"/>
    </row>
    <row r="140" spans="2:10" s="68" customFormat="1">
      <c r="B140" s="70"/>
      <c r="C140" s="67"/>
      <c r="J140" s="67"/>
    </row>
    <row r="141" spans="2:10" s="68" customFormat="1">
      <c r="B141" s="70"/>
      <c r="C141" s="67"/>
      <c r="D141" s="70"/>
      <c r="J141" s="67"/>
    </row>
    <row r="142" spans="2:10" s="68" customFormat="1">
      <c r="B142" s="70"/>
      <c r="C142" s="67"/>
    </row>
    <row r="143" spans="2:10" s="68" customFormat="1">
      <c r="B143" s="70"/>
      <c r="C143" s="67"/>
    </row>
    <row r="144" spans="2:10" s="68" customFormat="1">
      <c r="B144" s="70"/>
      <c r="C144" s="67"/>
    </row>
    <row r="145" spans="2:8" s="68" customFormat="1">
      <c r="B145" s="70"/>
      <c r="C145" s="67"/>
    </row>
    <row r="146" spans="2:8" s="68" customFormat="1">
      <c r="B146" s="70"/>
      <c r="C146" s="67"/>
    </row>
    <row r="147" spans="2:8" s="68" customFormat="1">
      <c r="B147" s="70"/>
      <c r="C147" s="67"/>
    </row>
    <row r="148" spans="2:8" s="68" customFormat="1">
      <c r="B148" s="70"/>
      <c r="C148" s="67"/>
    </row>
    <row r="149" spans="2:8" s="68" customFormat="1">
      <c r="B149" s="70"/>
      <c r="C149" s="67"/>
      <c r="D149" s="70"/>
    </row>
    <row r="150" spans="2:8" s="68" customFormat="1">
      <c r="B150" s="70"/>
      <c r="C150" s="67"/>
    </row>
    <row r="151" spans="2:8" s="68" customFormat="1">
      <c r="B151" s="70"/>
      <c r="C151" s="67"/>
      <c r="D151" s="70"/>
      <c r="H151" s="67"/>
    </row>
    <row r="152" spans="2:8" s="68" customFormat="1">
      <c r="B152" s="70"/>
      <c r="C152" s="67"/>
    </row>
    <row r="153" spans="2:8" s="68" customFormat="1">
      <c r="B153" s="70"/>
      <c r="C153" s="67"/>
    </row>
    <row r="154" spans="2:8" s="68" customFormat="1">
      <c r="B154" s="70"/>
      <c r="C154" s="67"/>
    </row>
    <row r="155" spans="2:8" s="68" customFormat="1">
      <c r="B155" s="70"/>
      <c r="C155" s="67"/>
    </row>
    <row r="156" spans="2:8" s="68" customFormat="1">
      <c r="B156" s="70"/>
      <c r="C156" s="67"/>
      <c r="H156" s="67"/>
    </row>
    <row r="157" spans="2:8" s="68" customFormat="1">
      <c r="B157" s="70"/>
      <c r="C157" s="67"/>
      <c r="H157" s="67"/>
    </row>
    <row r="158" spans="2:8" s="68" customFormat="1">
      <c r="B158" s="70"/>
      <c r="C158" s="67"/>
      <c r="H158" s="67"/>
    </row>
    <row r="159" spans="2:8" s="68" customFormat="1">
      <c r="B159" s="70"/>
      <c r="C159" s="67"/>
      <c r="H159" s="67"/>
    </row>
    <row r="160" spans="2:8" s="68" customFormat="1">
      <c r="B160" s="70"/>
      <c r="C160" s="67"/>
      <c r="H160" s="67"/>
    </row>
    <row r="161" spans="2:8" s="68" customFormat="1">
      <c r="B161" s="70"/>
      <c r="C161" s="67"/>
      <c r="H161" s="67"/>
    </row>
    <row r="162" spans="2:8" s="68" customFormat="1">
      <c r="B162" s="70"/>
      <c r="C162" s="67"/>
      <c r="H162" s="67"/>
    </row>
    <row r="163" spans="2:8" s="68" customFormat="1">
      <c r="B163" s="70"/>
      <c r="C163" s="67"/>
      <c r="H163" s="67"/>
    </row>
    <row r="164" spans="2:8" s="68" customFormat="1">
      <c r="B164" s="70"/>
      <c r="C164" s="67"/>
      <c r="H164" s="67"/>
    </row>
    <row r="165" spans="2:8" s="68" customFormat="1">
      <c r="B165" s="70"/>
      <c r="C165" s="67"/>
      <c r="H165" s="67"/>
    </row>
    <row r="166" spans="2:8" s="68" customFormat="1">
      <c r="B166" s="70"/>
      <c r="C166" s="67"/>
      <c r="H166" s="67"/>
    </row>
    <row r="167" spans="2:8" s="68" customFormat="1">
      <c r="B167" s="70"/>
      <c r="C167" s="67"/>
      <c r="H167" s="67"/>
    </row>
    <row r="168" spans="2:8" s="68" customFormat="1">
      <c r="B168" s="70"/>
      <c r="C168" s="67"/>
      <c r="H168" s="67"/>
    </row>
    <row r="169" spans="2:8" s="68" customFormat="1">
      <c r="B169" s="70"/>
      <c r="C169" s="67"/>
      <c r="H169" s="67"/>
    </row>
    <row r="170" spans="2:8" s="68" customFormat="1">
      <c r="B170" s="70"/>
      <c r="C170" s="67"/>
      <c r="H170" s="67"/>
    </row>
    <row r="171" spans="2:8" s="68" customFormat="1">
      <c r="B171" s="70"/>
      <c r="C171" s="67"/>
      <c r="H171" s="67"/>
    </row>
    <row r="172" spans="2:8" s="68" customFormat="1">
      <c r="B172" s="70"/>
      <c r="C172" s="67"/>
      <c r="H172" s="67"/>
    </row>
    <row r="173" spans="2:8" s="68" customFormat="1">
      <c r="B173" s="70"/>
      <c r="C173" s="67"/>
      <c r="H173" s="67"/>
    </row>
    <row r="174" spans="2:8" s="68" customFormat="1">
      <c r="B174" s="70"/>
      <c r="C174" s="67"/>
      <c r="H174" s="67"/>
    </row>
    <row r="175" spans="2:8" s="68" customFormat="1">
      <c r="B175" s="70"/>
      <c r="C175" s="67"/>
      <c r="H175" s="67"/>
    </row>
    <row r="176" spans="2:8" s="68" customFormat="1">
      <c r="B176" s="70"/>
      <c r="C176" s="67"/>
      <c r="H176" s="67"/>
    </row>
    <row r="177" spans="2:8" s="68" customFormat="1">
      <c r="B177" s="70"/>
      <c r="C177" s="67"/>
      <c r="H177" s="67"/>
    </row>
    <row r="178" spans="2:8" s="68" customFormat="1">
      <c r="B178" s="70"/>
      <c r="C178" s="67"/>
      <c r="H178" s="67"/>
    </row>
    <row r="179" spans="2:8" s="68" customFormat="1">
      <c r="B179" s="70"/>
      <c r="C179" s="67"/>
      <c r="H179" s="67"/>
    </row>
    <row r="180" spans="2:8" s="68" customFormat="1">
      <c r="B180" s="70"/>
      <c r="C180" s="67"/>
      <c r="H180" s="67"/>
    </row>
    <row r="181" spans="2:8" s="68" customFormat="1">
      <c r="B181" s="70"/>
      <c r="C181" s="67"/>
      <c r="H181" s="67"/>
    </row>
    <row r="182" spans="2:8" s="68" customFormat="1">
      <c r="B182" s="70"/>
      <c r="C182" s="67"/>
      <c r="H182" s="67"/>
    </row>
    <row r="183" spans="2:8" s="68" customFormat="1">
      <c r="B183" s="70"/>
      <c r="C183" s="67"/>
      <c r="H183" s="67"/>
    </row>
    <row r="184" spans="2:8" s="68" customFormat="1">
      <c r="B184" s="70"/>
      <c r="C184" s="67"/>
      <c r="H184" s="67"/>
    </row>
    <row r="185" spans="2:8" s="68" customFormat="1">
      <c r="B185" s="70"/>
      <c r="C185" s="67"/>
      <c r="H185" s="67"/>
    </row>
    <row r="186" spans="2:8" s="68" customFormat="1">
      <c r="B186" s="70"/>
      <c r="C186" s="67"/>
      <c r="H186" s="67"/>
    </row>
    <row r="187" spans="2:8" s="68" customFormat="1">
      <c r="B187" s="70"/>
      <c r="C187" s="67"/>
      <c r="H187" s="67"/>
    </row>
    <row r="188" spans="2:8" s="68" customFormat="1">
      <c r="B188" s="70"/>
      <c r="C188" s="67"/>
      <c r="H188" s="67"/>
    </row>
    <row r="189" spans="2:8" s="68" customFormat="1">
      <c r="B189" s="70"/>
      <c r="C189" s="67"/>
      <c r="H189" s="67"/>
    </row>
    <row r="190" spans="2:8" s="68" customFormat="1">
      <c r="B190" s="70"/>
      <c r="C190" s="67"/>
      <c r="H190" s="67"/>
    </row>
    <row r="191" spans="2:8" s="68" customFormat="1">
      <c r="B191" s="70"/>
      <c r="C191" s="67"/>
      <c r="H191" s="67"/>
    </row>
    <row r="192" spans="2:8" s="68" customFormat="1">
      <c r="B192" s="70"/>
      <c r="C192" s="67"/>
      <c r="H192" s="67"/>
    </row>
    <row r="193" spans="2:8" s="68" customFormat="1">
      <c r="B193" s="70"/>
      <c r="C193" s="67"/>
      <c r="H193" s="67"/>
    </row>
    <row r="194" spans="2:8" s="68" customFormat="1">
      <c r="B194" s="70"/>
      <c r="C194" s="67"/>
      <c r="H194" s="67"/>
    </row>
    <row r="195" spans="2:8" s="68" customFormat="1">
      <c r="B195" s="70"/>
      <c r="C195" s="67"/>
      <c r="H195" s="67"/>
    </row>
    <row r="196" spans="2:8" s="68" customFormat="1">
      <c r="B196" s="70"/>
      <c r="C196" s="67"/>
      <c r="H196" s="67"/>
    </row>
    <row r="197" spans="2:8" s="68" customFormat="1">
      <c r="B197" s="70"/>
      <c r="C197" s="67"/>
      <c r="H197" s="67"/>
    </row>
    <row r="198" spans="2:8" s="68" customFormat="1">
      <c r="B198" s="70"/>
      <c r="C198" s="67"/>
      <c r="H198" s="67"/>
    </row>
    <row r="199" spans="2:8" s="68" customFormat="1">
      <c r="B199" s="70"/>
      <c r="C199" s="67"/>
      <c r="H199" s="67"/>
    </row>
    <row r="200" spans="2:8" s="68" customFormat="1">
      <c r="B200" s="70"/>
      <c r="C200" s="67"/>
    </row>
    <row r="201" spans="2:8" s="68" customFormat="1">
      <c r="B201" s="70"/>
      <c r="C201" s="67"/>
    </row>
    <row r="202" spans="2:8" s="68" customFormat="1">
      <c r="B202" s="70"/>
      <c r="C202" s="67"/>
      <c r="D202" s="70"/>
    </row>
    <row r="203" spans="2:8" s="68" customFormat="1">
      <c r="B203" s="70"/>
      <c r="C203" s="67"/>
    </row>
    <row r="204" spans="2:8" s="68" customFormat="1">
      <c r="B204" s="70"/>
      <c r="C204" s="67"/>
    </row>
    <row r="205" spans="2:8" s="68" customFormat="1">
      <c r="B205" s="70"/>
      <c r="C205" s="67"/>
    </row>
    <row r="206" spans="2:8" s="68" customFormat="1">
      <c r="B206" s="70"/>
      <c r="C206" s="67"/>
    </row>
    <row r="207" spans="2:8" s="68" customFormat="1">
      <c r="B207" s="70"/>
      <c r="C207" s="67"/>
    </row>
    <row r="208" spans="2:8" s="68" customFormat="1">
      <c r="B208" s="70"/>
      <c r="C208" s="67"/>
    </row>
    <row r="209" spans="2:4" s="68" customFormat="1">
      <c r="B209" s="70"/>
      <c r="C209" s="67"/>
    </row>
    <row r="210" spans="2:4" s="68" customFormat="1">
      <c r="B210" s="70"/>
      <c r="C210" s="67"/>
    </row>
    <row r="211" spans="2:4" s="68" customFormat="1">
      <c r="B211" s="70"/>
      <c r="C211" s="67"/>
    </row>
    <row r="212" spans="2:4" s="68" customFormat="1">
      <c r="B212" s="70"/>
      <c r="C212" s="67"/>
    </row>
    <row r="213" spans="2:4" s="68" customFormat="1">
      <c r="B213" s="70"/>
      <c r="C213" s="67"/>
    </row>
    <row r="214" spans="2:4" s="68" customFormat="1">
      <c r="B214" s="70"/>
      <c r="C214" s="67"/>
    </row>
    <row r="215" spans="2:4" s="68" customFormat="1">
      <c r="B215" s="70"/>
      <c r="C215" s="67"/>
    </row>
    <row r="216" spans="2:4" s="68" customFormat="1">
      <c r="B216" s="70"/>
      <c r="C216" s="67"/>
    </row>
    <row r="217" spans="2:4" s="68" customFormat="1">
      <c r="B217" s="70"/>
      <c r="C217" s="67"/>
    </row>
    <row r="218" spans="2:4" s="68" customFormat="1">
      <c r="B218" s="70"/>
      <c r="C218" s="67"/>
    </row>
    <row r="219" spans="2:4" s="68" customFormat="1">
      <c r="B219" s="70"/>
      <c r="C219" s="67"/>
      <c r="D219" s="70"/>
    </row>
    <row r="220" spans="2:4" s="68" customFormat="1">
      <c r="B220" s="70"/>
      <c r="C220" s="67"/>
    </row>
    <row r="221" spans="2:4" s="68" customFormat="1">
      <c r="B221" s="70"/>
      <c r="C221" s="67"/>
    </row>
    <row r="222" spans="2:4" s="68" customFormat="1">
      <c r="B222" s="70"/>
      <c r="C222" s="67"/>
    </row>
    <row r="223" spans="2:4" s="68" customFormat="1">
      <c r="B223" s="70"/>
      <c r="C223" s="67"/>
    </row>
    <row r="224" spans="2:4" s="68" customFormat="1">
      <c r="B224" s="70"/>
      <c r="C224" s="67"/>
    </row>
    <row r="225" spans="2:4" s="68" customFormat="1">
      <c r="B225" s="70"/>
      <c r="C225" s="67"/>
    </row>
    <row r="226" spans="2:4" s="68" customFormat="1">
      <c r="B226" s="70"/>
      <c r="C226" s="67"/>
    </row>
    <row r="227" spans="2:4" s="68" customFormat="1">
      <c r="B227" s="70"/>
      <c r="C227" s="67"/>
    </row>
    <row r="228" spans="2:4" s="68" customFormat="1">
      <c r="B228" s="70"/>
      <c r="C228" s="67"/>
    </row>
    <row r="229" spans="2:4" s="68" customFormat="1">
      <c r="B229" s="70"/>
      <c r="C229" s="67"/>
    </row>
    <row r="230" spans="2:4" s="68" customFormat="1">
      <c r="B230" s="70"/>
      <c r="C230" s="67"/>
      <c r="D230" s="70"/>
    </row>
    <row r="231" spans="2:4" s="68" customFormat="1">
      <c r="B231" s="70"/>
      <c r="C231" s="67"/>
    </row>
    <row r="232" spans="2:4" s="68" customFormat="1">
      <c r="B232" s="70"/>
      <c r="C232" s="67"/>
    </row>
    <row r="233" spans="2:4" s="68" customFormat="1">
      <c r="B233" s="70"/>
      <c r="C233" s="67"/>
      <c r="D233" s="67"/>
    </row>
    <row r="234" spans="2:4" s="68" customFormat="1">
      <c r="B234" s="70"/>
      <c r="C234" s="67"/>
    </row>
    <row r="235" spans="2:4" s="68" customFormat="1">
      <c r="B235" s="70"/>
      <c r="C235" s="67"/>
    </row>
    <row r="236" spans="2:4" s="68" customFormat="1">
      <c r="B236" s="70"/>
      <c r="C236" s="67"/>
    </row>
    <row r="237" spans="2:4" s="68" customFormat="1">
      <c r="B237" s="70"/>
      <c r="C237" s="67"/>
    </row>
    <row r="238" spans="2:4" s="68" customFormat="1">
      <c r="B238" s="70"/>
      <c r="C238" s="67"/>
    </row>
    <row r="239" spans="2:4" s="68" customFormat="1">
      <c r="B239" s="70"/>
      <c r="C239" s="67"/>
    </row>
    <row r="240" spans="2:4" s="68" customFormat="1">
      <c r="B240" s="70"/>
      <c r="C240" s="67"/>
    </row>
    <row r="241" spans="2:3" s="68" customFormat="1">
      <c r="B241" s="70"/>
      <c r="C241" s="67"/>
    </row>
    <row r="242" spans="2:3" s="68" customFormat="1">
      <c r="B242" s="70"/>
      <c r="C242" s="67"/>
    </row>
    <row r="243" spans="2:3" s="68" customFormat="1">
      <c r="B243" s="70"/>
      <c r="C243" s="67"/>
    </row>
    <row r="244" spans="2:3" s="68" customFormat="1">
      <c r="B244" s="70"/>
      <c r="C244" s="67"/>
    </row>
    <row r="245" spans="2:3" s="68" customFormat="1">
      <c r="B245" s="70"/>
      <c r="C245" s="67"/>
    </row>
    <row r="246" spans="2:3" s="68" customFormat="1">
      <c r="B246" s="70"/>
      <c r="C246" s="67"/>
    </row>
    <row r="247" spans="2:3" s="68" customFormat="1">
      <c r="B247" s="70"/>
      <c r="C247" s="67"/>
    </row>
    <row r="248" spans="2:3" s="68" customFormat="1">
      <c r="B248" s="70"/>
      <c r="C248" s="67"/>
    </row>
    <row r="249" spans="2:3" s="68" customFormat="1">
      <c r="B249" s="70"/>
      <c r="C249" s="67"/>
    </row>
    <row r="250" spans="2:3" s="68" customFormat="1">
      <c r="B250" s="70"/>
      <c r="C250" s="67"/>
    </row>
    <row r="251" spans="2:3" s="68" customFormat="1">
      <c r="B251" s="70"/>
      <c r="C251" s="67"/>
    </row>
    <row r="252" spans="2:3" s="68" customFormat="1">
      <c r="B252" s="70"/>
      <c r="C252" s="67"/>
    </row>
    <row r="253" spans="2:3" s="68" customFormat="1">
      <c r="B253" s="70"/>
      <c r="C253" s="67"/>
    </row>
    <row r="254" spans="2:3" s="68" customFormat="1">
      <c r="B254" s="70"/>
      <c r="C254" s="67"/>
    </row>
    <row r="255" spans="2:3" s="68" customFormat="1">
      <c r="B255" s="70"/>
      <c r="C255" s="67"/>
    </row>
    <row r="256" spans="2:3" s="68" customFormat="1">
      <c r="B256" s="70"/>
      <c r="C256" s="67"/>
    </row>
    <row r="257" spans="2:3" s="68" customFormat="1">
      <c r="B257" s="70"/>
      <c r="C257" s="67"/>
    </row>
    <row r="258" spans="2:3" s="68" customFormat="1">
      <c r="B258" s="70"/>
      <c r="C258" s="67"/>
    </row>
    <row r="259" spans="2:3" s="68" customFormat="1">
      <c r="B259" s="70"/>
      <c r="C259" s="67"/>
    </row>
    <row r="260" spans="2:3" s="68" customFormat="1">
      <c r="B260" s="70"/>
      <c r="C260" s="67"/>
    </row>
    <row r="261" spans="2:3" s="68" customFormat="1">
      <c r="B261" s="70"/>
      <c r="C261" s="67"/>
    </row>
    <row r="262" spans="2:3" s="68" customFormat="1">
      <c r="B262" s="70"/>
      <c r="C262" s="67"/>
    </row>
    <row r="263" spans="2:3" s="68" customFormat="1">
      <c r="B263" s="70"/>
      <c r="C263" s="67"/>
    </row>
    <row r="264" spans="2:3" s="68" customFormat="1">
      <c r="B264" s="70"/>
      <c r="C264" s="67"/>
    </row>
    <row r="265" spans="2:3" s="68" customFormat="1">
      <c r="B265" s="70"/>
      <c r="C265" s="67"/>
    </row>
    <row r="266" spans="2:3" s="68" customFormat="1">
      <c r="B266" s="70"/>
      <c r="C266" s="67"/>
    </row>
    <row r="267" spans="2:3" s="68" customFormat="1">
      <c r="B267" s="70"/>
      <c r="C267" s="67"/>
    </row>
    <row r="268" spans="2:3" s="68" customFormat="1">
      <c r="B268" s="70"/>
      <c r="C268" s="67"/>
    </row>
    <row r="269" spans="2:3" s="68" customFormat="1">
      <c r="B269" s="70"/>
      <c r="C269" s="67"/>
    </row>
    <row r="270" spans="2:3" s="68" customFormat="1">
      <c r="B270" s="70"/>
      <c r="C270" s="67"/>
    </row>
    <row r="271" spans="2:3" s="68" customFormat="1">
      <c r="B271" s="70"/>
      <c r="C271" s="67"/>
    </row>
    <row r="272" spans="2:3" s="68" customFormat="1">
      <c r="B272" s="70"/>
      <c r="C272" s="67"/>
    </row>
    <row r="273" spans="2:8" s="68" customFormat="1">
      <c r="B273" s="70"/>
      <c r="C273" s="67"/>
      <c r="D273" s="67"/>
    </row>
    <row r="274" spans="2:8" s="68" customFormat="1">
      <c r="B274" s="70"/>
      <c r="C274" s="67"/>
    </row>
    <row r="275" spans="2:8" s="68" customFormat="1">
      <c r="B275" s="70"/>
      <c r="C275" s="67"/>
    </row>
    <row r="276" spans="2:8" s="68" customFormat="1">
      <c r="B276" s="70"/>
      <c r="C276" s="67"/>
      <c r="D276" s="70"/>
      <c r="H276" s="67"/>
    </row>
    <row r="277" spans="2:8" s="68" customFormat="1">
      <c r="B277" s="70"/>
      <c r="C277" s="67"/>
      <c r="H277" s="67"/>
    </row>
    <row r="278" spans="2:8" s="68" customFormat="1">
      <c r="B278" s="70"/>
      <c r="C278" s="67"/>
      <c r="H278" s="67"/>
    </row>
    <row r="279" spans="2:8" s="68" customFormat="1">
      <c r="B279" s="70"/>
      <c r="C279" s="67"/>
      <c r="H279" s="67"/>
    </row>
    <row r="280" spans="2:8" s="68" customFormat="1">
      <c r="B280" s="70"/>
      <c r="C280" s="67"/>
      <c r="H280" s="67"/>
    </row>
    <row r="281" spans="2:8" s="68" customFormat="1">
      <c r="B281" s="70"/>
      <c r="C281" s="67"/>
      <c r="H281" s="67"/>
    </row>
    <row r="282" spans="2:8" s="68" customFormat="1">
      <c r="B282" s="70"/>
      <c r="C282" s="67"/>
      <c r="H282" s="67"/>
    </row>
    <row r="283" spans="2:8" s="68" customFormat="1">
      <c r="B283" s="70"/>
      <c r="C283" s="67"/>
      <c r="H283" s="67"/>
    </row>
    <row r="284" spans="2:8" s="68" customFormat="1">
      <c r="B284" s="70"/>
      <c r="C284" s="67"/>
      <c r="H284" s="67"/>
    </row>
    <row r="285" spans="2:8" s="68" customFormat="1">
      <c r="B285" s="70"/>
      <c r="C285" s="67"/>
      <c r="H285" s="67"/>
    </row>
    <row r="286" spans="2:8" s="68" customFormat="1">
      <c r="B286" s="70"/>
      <c r="C286" s="67"/>
      <c r="H286" s="67"/>
    </row>
    <row r="287" spans="2:8" s="68" customFormat="1">
      <c r="B287" s="70"/>
      <c r="C287" s="67"/>
      <c r="H287" s="67"/>
    </row>
    <row r="288" spans="2:8" s="68" customFormat="1">
      <c r="B288" s="70"/>
      <c r="C288" s="67"/>
      <c r="H288" s="67"/>
    </row>
    <row r="289" spans="2:8" s="68" customFormat="1">
      <c r="B289" s="70"/>
      <c r="C289" s="67"/>
      <c r="H289" s="67"/>
    </row>
    <row r="290" spans="2:8" s="68" customFormat="1">
      <c r="B290" s="70"/>
      <c r="C290" s="67"/>
      <c r="H290" s="67"/>
    </row>
    <row r="291" spans="2:8" s="68" customFormat="1">
      <c r="B291" s="70"/>
      <c r="C291" s="67"/>
      <c r="H291" s="67"/>
    </row>
    <row r="292" spans="2:8" s="68" customFormat="1">
      <c r="B292" s="70"/>
      <c r="C292" s="67"/>
      <c r="H292" s="67"/>
    </row>
    <row r="293" spans="2:8" s="68" customFormat="1">
      <c r="B293" s="70"/>
      <c r="C293" s="67"/>
      <c r="H293" s="67"/>
    </row>
    <row r="294" spans="2:8" s="68" customFormat="1">
      <c r="B294" s="70"/>
      <c r="C294" s="67"/>
      <c r="H294" s="67"/>
    </row>
    <row r="295" spans="2:8" s="68" customFormat="1">
      <c r="B295" s="70"/>
      <c r="C295" s="67"/>
      <c r="H295" s="67"/>
    </row>
    <row r="296" spans="2:8" s="68" customFormat="1">
      <c r="B296" s="70"/>
      <c r="C296" s="67"/>
      <c r="D296" s="70"/>
      <c r="H296" s="67"/>
    </row>
    <row r="297" spans="2:8" s="68" customFormat="1">
      <c r="B297" s="70"/>
      <c r="C297" s="67"/>
      <c r="H297" s="67"/>
    </row>
    <row r="298" spans="2:8" s="68" customFormat="1">
      <c r="B298" s="70"/>
      <c r="C298" s="67"/>
      <c r="H298" s="67"/>
    </row>
    <row r="299" spans="2:8" s="68" customFormat="1">
      <c r="B299" s="70"/>
      <c r="C299" s="67"/>
      <c r="H299" s="67"/>
    </row>
    <row r="300" spans="2:8" s="68" customFormat="1">
      <c r="B300" s="70"/>
      <c r="C300" s="67"/>
      <c r="H300" s="67"/>
    </row>
    <row r="301" spans="2:8" s="68" customFormat="1">
      <c r="B301" s="70"/>
      <c r="C301" s="67"/>
      <c r="H301" s="67"/>
    </row>
    <row r="302" spans="2:8" s="68" customFormat="1">
      <c r="B302" s="70"/>
      <c r="C302" s="67"/>
      <c r="H302" s="67"/>
    </row>
    <row r="303" spans="2:8" s="68" customFormat="1">
      <c r="B303" s="70"/>
      <c r="C303" s="67"/>
      <c r="H303" s="67"/>
    </row>
    <row r="304" spans="2:8" s="68" customFormat="1">
      <c r="B304" s="70"/>
      <c r="C304" s="67"/>
    </row>
    <row r="305" spans="2:4" s="68" customFormat="1">
      <c r="B305" s="70"/>
      <c r="C305" s="67"/>
    </row>
    <row r="306" spans="2:4" s="68" customFormat="1">
      <c r="B306" s="70"/>
      <c r="C306" s="67"/>
    </row>
    <row r="307" spans="2:4" s="68" customFormat="1">
      <c r="B307" s="70"/>
      <c r="C307" s="67"/>
    </row>
    <row r="308" spans="2:4" s="68" customFormat="1">
      <c r="B308" s="70"/>
      <c r="C308" s="67"/>
    </row>
    <row r="309" spans="2:4" s="68" customFormat="1">
      <c r="B309" s="70"/>
      <c r="C309" s="67"/>
    </row>
    <row r="310" spans="2:4" s="68" customFormat="1">
      <c r="B310" s="70"/>
      <c r="C310" s="67"/>
    </row>
    <row r="311" spans="2:4" s="68" customFormat="1">
      <c r="B311" s="70"/>
      <c r="C311" s="67"/>
    </row>
    <row r="312" spans="2:4" s="68" customFormat="1">
      <c r="B312" s="70"/>
      <c r="C312" s="67"/>
    </row>
    <row r="313" spans="2:4" s="68" customFormat="1">
      <c r="B313" s="70"/>
      <c r="C313" s="67"/>
    </row>
    <row r="314" spans="2:4" s="68" customFormat="1">
      <c r="B314" s="70"/>
      <c r="C314" s="67"/>
    </row>
    <row r="315" spans="2:4" s="68" customFormat="1">
      <c r="B315" s="70"/>
      <c r="C315" s="67"/>
    </row>
    <row r="316" spans="2:4" s="68" customFormat="1">
      <c r="B316" s="70"/>
      <c r="C316" s="67"/>
      <c r="D316" s="70"/>
    </row>
    <row r="317" spans="2:4" s="68" customFormat="1">
      <c r="B317" s="70"/>
      <c r="C317" s="67"/>
      <c r="D317" s="70"/>
    </row>
    <row r="318" spans="2:4" s="68" customFormat="1">
      <c r="B318" s="70"/>
      <c r="C318" s="67"/>
    </row>
    <row r="319" spans="2:4" s="68" customFormat="1">
      <c r="B319" s="70"/>
      <c r="C319" s="67"/>
      <c r="D319" s="70"/>
    </row>
    <row r="320" spans="2:4" s="68" customFormat="1">
      <c r="B320" s="70"/>
      <c r="C320" s="67"/>
    </row>
    <row r="321" spans="2:3" s="68" customFormat="1">
      <c r="B321" s="70"/>
      <c r="C321" s="67"/>
    </row>
    <row r="322" spans="2:3" s="68" customFormat="1">
      <c r="B322" s="70"/>
      <c r="C322" s="67"/>
    </row>
    <row r="323" spans="2:3" s="68" customFormat="1">
      <c r="B323" s="70"/>
      <c r="C323" s="67"/>
    </row>
    <row r="324" spans="2:3" s="68" customFormat="1">
      <c r="B324" s="70"/>
      <c r="C324" s="67"/>
    </row>
    <row r="325" spans="2:3" s="68" customFormat="1">
      <c r="B325" s="70"/>
      <c r="C325" s="67"/>
    </row>
    <row r="326" spans="2:3" s="68" customFormat="1">
      <c r="B326" s="70"/>
      <c r="C326" s="67"/>
    </row>
    <row r="327" spans="2:3" s="68" customFormat="1">
      <c r="B327" s="70"/>
      <c r="C327" s="67"/>
    </row>
    <row r="328" spans="2:3" s="68" customFormat="1">
      <c r="B328" s="70"/>
      <c r="C328" s="67"/>
    </row>
    <row r="329" spans="2:3" s="68" customFormat="1">
      <c r="B329" s="70"/>
      <c r="C329" s="67"/>
    </row>
    <row r="330" spans="2:3" s="68" customFormat="1">
      <c r="B330" s="70"/>
      <c r="C330" s="67"/>
    </row>
    <row r="331" spans="2:3" s="68" customFormat="1">
      <c r="B331" s="70"/>
      <c r="C331" s="67"/>
    </row>
    <row r="332" spans="2:3" s="68" customFormat="1">
      <c r="B332" s="70"/>
      <c r="C332" s="67"/>
    </row>
    <row r="333" spans="2:3" s="68" customFormat="1">
      <c r="B333" s="70"/>
      <c r="C333" s="67"/>
    </row>
    <row r="334" spans="2:3" s="68" customFormat="1">
      <c r="B334" s="70"/>
      <c r="C334" s="67"/>
    </row>
    <row r="335" spans="2:3" s="68" customFormat="1">
      <c r="B335" s="70"/>
      <c r="C335" s="67"/>
    </row>
    <row r="336" spans="2:3" s="68" customFormat="1">
      <c r="B336" s="70"/>
      <c r="C336" s="67"/>
    </row>
    <row r="337" spans="2:3" s="68" customFormat="1">
      <c r="B337" s="70"/>
      <c r="C337" s="67"/>
    </row>
    <row r="338" spans="2:3" s="68" customFormat="1">
      <c r="B338" s="70"/>
      <c r="C338" s="67"/>
    </row>
    <row r="339" spans="2:3" s="68" customFormat="1">
      <c r="B339" s="70"/>
      <c r="C339" s="67"/>
    </row>
    <row r="340" spans="2:3" s="68" customFormat="1">
      <c r="B340" s="70"/>
      <c r="C340" s="67"/>
    </row>
    <row r="341" spans="2:3" s="68" customFormat="1">
      <c r="B341" s="70"/>
      <c r="C341" s="67"/>
    </row>
    <row r="342" spans="2:3" s="68" customFormat="1">
      <c r="B342" s="70"/>
      <c r="C342" s="67"/>
    </row>
    <row r="343" spans="2:3" s="68" customFormat="1">
      <c r="B343" s="70"/>
      <c r="C343" s="67"/>
    </row>
    <row r="344" spans="2:3" s="68" customFormat="1">
      <c r="B344" s="70"/>
      <c r="C344" s="67"/>
    </row>
    <row r="345" spans="2:3" s="68" customFormat="1">
      <c r="B345" s="70"/>
      <c r="C345" s="67"/>
    </row>
    <row r="346" spans="2:3" s="68" customFormat="1">
      <c r="B346" s="70"/>
      <c r="C346" s="67"/>
    </row>
    <row r="347" spans="2:3" s="68" customFormat="1">
      <c r="B347" s="70"/>
      <c r="C347" s="67"/>
    </row>
    <row r="348" spans="2:3" s="68" customFormat="1">
      <c r="B348" s="70"/>
      <c r="C348" s="67"/>
    </row>
    <row r="349" spans="2:3" s="68" customFormat="1">
      <c r="B349" s="70"/>
      <c r="C349" s="67"/>
    </row>
    <row r="350" spans="2:3" s="68" customFormat="1">
      <c r="B350" s="70"/>
      <c r="C350" s="67"/>
    </row>
    <row r="351" spans="2:3" s="68" customFormat="1">
      <c r="B351" s="70"/>
      <c r="C351" s="67"/>
    </row>
    <row r="352" spans="2:3" s="68" customFormat="1">
      <c r="B352" s="70"/>
      <c r="C352" s="67"/>
    </row>
    <row r="353" spans="2:3" s="68" customFormat="1">
      <c r="B353" s="70"/>
      <c r="C353" s="67"/>
    </row>
    <row r="354" spans="2:3" s="68" customFormat="1">
      <c r="B354" s="70"/>
      <c r="C354" s="67"/>
    </row>
    <row r="355" spans="2:3" s="68" customFormat="1">
      <c r="B355" s="70"/>
      <c r="C355" s="67"/>
    </row>
    <row r="356" spans="2:3" s="68" customFormat="1">
      <c r="B356" s="70"/>
      <c r="C356" s="67"/>
    </row>
    <row r="357" spans="2:3" s="68" customFormat="1">
      <c r="B357" s="70"/>
      <c r="C357" s="67"/>
    </row>
    <row r="358" spans="2:3" s="68" customFormat="1">
      <c r="B358" s="70"/>
      <c r="C358" s="67"/>
    </row>
    <row r="359" spans="2:3" s="68" customFormat="1">
      <c r="B359" s="70"/>
      <c r="C359" s="67"/>
    </row>
    <row r="360" spans="2:3" s="68" customFormat="1">
      <c r="B360" s="70"/>
      <c r="C360" s="67"/>
    </row>
    <row r="361" spans="2:3" s="68" customFormat="1">
      <c r="B361" s="70"/>
      <c r="C361" s="67"/>
    </row>
    <row r="362" spans="2:3" s="68" customFormat="1">
      <c r="B362" s="70"/>
      <c r="C362" s="67"/>
    </row>
    <row r="363" spans="2:3" s="68" customFormat="1">
      <c r="B363" s="70"/>
      <c r="C363" s="67"/>
    </row>
    <row r="364" spans="2:3" s="68" customFormat="1">
      <c r="B364" s="70"/>
      <c r="C364" s="67"/>
    </row>
    <row r="365" spans="2:3" s="68" customFormat="1">
      <c r="B365" s="70"/>
      <c r="C365" s="67"/>
    </row>
    <row r="366" spans="2:3" s="68" customFormat="1">
      <c r="B366" s="70"/>
      <c r="C366" s="67"/>
    </row>
    <row r="367" spans="2:3" s="68" customFormat="1">
      <c r="B367" s="70"/>
      <c r="C367" s="67"/>
    </row>
    <row r="368" spans="2:3" s="68" customFormat="1">
      <c r="B368" s="70"/>
      <c r="C368" s="67"/>
    </row>
    <row r="369" spans="2:3" s="68" customFormat="1">
      <c r="B369" s="70"/>
      <c r="C369" s="67"/>
    </row>
    <row r="370" spans="2:3" s="68" customFormat="1">
      <c r="B370" s="70"/>
      <c r="C370" s="67"/>
    </row>
    <row r="371" spans="2:3" s="68" customFormat="1">
      <c r="B371" s="70"/>
      <c r="C371" s="67"/>
    </row>
    <row r="372" spans="2:3" s="68" customFormat="1">
      <c r="B372" s="70"/>
      <c r="C372" s="67"/>
    </row>
    <row r="373" spans="2:3" s="68" customFormat="1">
      <c r="B373" s="70"/>
      <c r="C373" s="67"/>
    </row>
    <row r="374" spans="2:3" s="68" customFormat="1">
      <c r="B374" s="70"/>
      <c r="C374" s="67"/>
    </row>
    <row r="375" spans="2:3" s="68" customFormat="1">
      <c r="B375" s="70"/>
      <c r="C375" s="67"/>
    </row>
    <row r="376" spans="2:3" s="68" customFormat="1">
      <c r="B376" s="70"/>
      <c r="C376" s="67"/>
    </row>
    <row r="377" spans="2:3" s="68" customFormat="1">
      <c r="B377" s="70"/>
      <c r="C377" s="67"/>
    </row>
    <row r="378" spans="2:3" s="68" customFormat="1">
      <c r="B378" s="70"/>
      <c r="C378" s="67"/>
    </row>
    <row r="379" spans="2:3" s="68" customFormat="1">
      <c r="B379" s="70"/>
      <c r="C379" s="67"/>
    </row>
    <row r="380" spans="2:3" s="68" customFormat="1">
      <c r="B380" s="70"/>
      <c r="C380" s="67"/>
    </row>
    <row r="381" spans="2:3" s="68" customFormat="1">
      <c r="B381" s="70"/>
      <c r="C381" s="67"/>
    </row>
    <row r="382" spans="2:3" s="68" customFormat="1">
      <c r="B382" s="70"/>
      <c r="C382" s="67"/>
    </row>
    <row r="383" spans="2:3" s="68" customFormat="1">
      <c r="B383" s="70"/>
      <c r="C383" s="67"/>
    </row>
    <row r="384" spans="2:3" s="68" customFormat="1">
      <c r="B384" s="70"/>
      <c r="C384" s="67"/>
    </row>
    <row r="385" spans="2:3" s="68" customFormat="1">
      <c r="B385" s="70"/>
      <c r="C385" s="67"/>
    </row>
    <row r="386" spans="2:3" s="68" customFormat="1">
      <c r="B386" s="70"/>
      <c r="C386" s="67"/>
    </row>
    <row r="387" spans="2:3" s="68" customFormat="1">
      <c r="B387" s="70"/>
      <c r="C387" s="67"/>
    </row>
    <row r="388" spans="2:3" s="68" customFormat="1">
      <c r="B388" s="70"/>
      <c r="C388" s="67"/>
    </row>
    <row r="389" spans="2:3" s="68" customFormat="1">
      <c r="B389" s="70"/>
      <c r="C389" s="67"/>
    </row>
    <row r="390" spans="2:3" s="68" customFormat="1">
      <c r="B390" s="70"/>
      <c r="C390" s="67"/>
    </row>
    <row r="391" spans="2:3" s="68" customFormat="1">
      <c r="B391" s="70"/>
      <c r="C391" s="67"/>
    </row>
    <row r="392" spans="2:3" s="68" customFormat="1">
      <c r="B392" s="70"/>
      <c r="C392" s="67"/>
    </row>
    <row r="393" spans="2:3" s="68" customFormat="1">
      <c r="B393" s="70"/>
      <c r="C393" s="67"/>
    </row>
    <row r="394" spans="2:3" s="68" customFormat="1">
      <c r="B394" s="70"/>
      <c r="C394" s="67"/>
    </row>
    <row r="395" spans="2:3" s="68" customFormat="1">
      <c r="B395" s="70"/>
      <c r="C395" s="67"/>
    </row>
    <row r="396" spans="2:3" s="68" customFormat="1">
      <c r="B396" s="70"/>
      <c r="C396" s="67"/>
    </row>
    <row r="397" spans="2:3" s="68" customFormat="1">
      <c r="B397" s="70"/>
      <c r="C397" s="67"/>
    </row>
    <row r="398" spans="2:3" s="68" customFormat="1">
      <c r="B398" s="70"/>
      <c r="C398" s="67"/>
    </row>
    <row r="399" spans="2:3" s="68" customFormat="1">
      <c r="B399" s="70"/>
      <c r="C399" s="67"/>
    </row>
    <row r="400" spans="2:3" s="68" customFormat="1">
      <c r="B400" s="70"/>
      <c r="C400" s="67"/>
    </row>
    <row r="401" spans="2:3" s="68" customFormat="1">
      <c r="B401" s="70"/>
      <c r="C401" s="67"/>
    </row>
    <row r="402" spans="2:3" s="68" customFormat="1">
      <c r="B402" s="70"/>
      <c r="C402" s="67"/>
    </row>
    <row r="403" spans="2:3" s="68" customFormat="1">
      <c r="B403" s="70"/>
      <c r="C403" s="67"/>
    </row>
    <row r="404" spans="2:3" s="68" customFormat="1">
      <c r="B404" s="70"/>
      <c r="C404" s="67"/>
    </row>
    <row r="405" spans="2:3" s="68" customFormat="1">
      <c r="B405" s="70"/>
      <c r="C405" s="67"/>
    </row>
    <row r="406" spans="2:3" s="68" customFormat="1">
      <c r="B406" s="70"/>
      <c r="C406" s="67"/>
    </row>
    <row r="407" spans="2:3" s="68" customFormat="1">
      <c r="B407" s="70"/>
      <c r="C407" s="67"/>
    </row>
    <row r="408" spans="2:3" s="68" customFormat="1">
      <c r="B408" s="70"/>
      <c r="C408" s="67"/>
    </row>
    <row r="409" spans="2:3" s="68" customFormat="1">
      <c r="B409" s="70"/>
      <c r="C409" s="67"/>
    </row>
    <row r="410" spans="2:3" s="68" customFormat="1">
      <c r="B410" s="70"/>
      <c r="C410" s="67"/>
    </row>
    <row r="411" spans="2:3" s="68" customFormat="1">
      <c r="B411" s="70"/>
      <c r="C411" s="67"/>
    </row>
    <row r="412" spans="2:3" s="68" customFormat="1">
      <c r="B412" s="70"/>
      <c r="C412" s="67"/>
    </row>
    <row r="413" spans="2:3" s="68" customFormat="1">
      <c r="B413" s="70"/>
      <c r="C413" s="67"/>
    </row>
    <row r="414" spans="2:3" s="68" customFormat="1">
      <c r="B414" s="70"/>
      <c r="C414" s="67"/>
    </row>
    <row r="415" spans="2:3" s="68" customFormat="1">
      <c r="B415" s="70"/>
      <c r="C415" s="67"/>
    </row>
    <row r="416" spans="2:3" s="68" customFormat="1">
      <c r="B416" s="70"/>
      <c r="C416" s="67"/>
    </row>
    <row r="417" spans="2:3" s="68" customFormat="1">
      <c r="B417" s="70"/>
      <c r="C417" s="67"/>
    </row>
    <row r="418" spans="2:3" s="68" customFormat="1">
      <c r="B418" s="70"/>
      <c r="C418" s="67"/>
    </row>
    <row r="419" spans="2:3" s="68" customFormat="1">
      <c r="B419" s="70"/>
      <c r="C419" s="67"/>
    </row>
    <row r="420" spans="2:3" s="68" customFormat="1">
      <c r="B420" s="70"/>
      <c r="C420" s="67"/>
    </row>
    <row r="421" spans="2:3" s="68" customFormat="1">
      <c r="B421" s="70"/>
      <c r="C421" s="67"/>
    </row>
    <row r="422" spans="2:3" s="68" customFormat="1">
      <c r="B422" s="70"/>
      <c r="C422" s="67"/>
    </row>
    <row r="423" spans="2:3" s="68" customFormat="1">
      <c r="B423" s="70"/>
      <c r="C423" s="67"/>
    </row>
    <row r="424" spans="2:3" s="68" customFormat="1">
      <c r="B424" s="70"/>
      <c r="C424" s="67"/>
    </row>
    <row r="425" spans="2:3" s="68" customFormat="1">
      <c r="B425" s="70"/>
      <c r="C425" s="67"/>
    </row>
    <row r="426" spans="2:3" s="68" customFormat="1">
      <c r="B426" s="70"/>
      <c r="C426" s="67"/>
    </row>
    <row r="427" spans="2:3" s="68" customFormat="1">
      <c r="B427" s="70"/>
      <c r="C427" s="67"/>
    </row>
    <row r="428" spans="2:3" s="68" customFormat="1">
      <c r="B428" s="70"/>
      <c r="C428" s="67"/>
    </row>
    <row r="429" spans="2:3" s="68" customFormat="1">
      <c r="B429" s="70"/>
      <c r="C429" s="67"/>
    </row>
    <row r="430" spans="2:3" s="68" customFormat="1">
      <c r="B430" s="70"/>
      <c r="C430" s="67"/>
    </row>
    <row r="431" spans="2:3" s="68" customFormat="1">
      <c r="B431" s="70"/>
      <c r="C431" s="67"/>
    </row>
    <row r="432" spans="2:3" s="68" customFormat="1">
      <c r="B432" s="70"/>
      <c r="C432" s="67"/>
    </row>
    <row r="433" spans="2:3" s="68" customFormat="1">
      <c r="B433" s="70"/>
      <c r="C433" s="67"/>
    </row>
    <row r="434" spans="2:3" s="68" customFormat="1">
      <c r="B434" s="70"/>
      <c r="C434" s="67"/>
    </row>
    <row r="435" spans="2:3" s="68" customFormat="1">
      <c r="B435" s="70"/>
      <c r="C435" s="67"/>
    </row>
    <row r="436" spans="2:3" s="68" customFormat="1">
      <c r="B436" s="70"/>
      <c r="C436" s="67"/>
    </row>
    <row r="437" spans="2:3" s="68" customFormat="1">
      <c r="B437" s="70"/>
      <c r="C437" s="67"/>
    </row>
    <row r="438" spans="2:3" s="68" customFormat="1">
      <c r="B438" s="70"/>
      <c r="C438" s="67"/>
    </row>
    <row r="439" spans="2:3" s="68" customFormat="1">
      <c r="B439" s="70"/>
      <c r="C439" s="67"/>
    </row>
    <row r="440" spans="2:3" s="68" customFormat="1">
      <c r="B440" s="70"/>
      <c r="C440" s="67"/>
    </row>
    <row r="441" spans="2:3" s="68" customFormat="1">
      <c r="B441" s="70"/>
      <c r="C441" s="67"/>
    </row>
    <row r="442" spans="2:3" s="68" customFormat="1">
      <c r="B442" s="70"/>
      <c r="C442" s="67"/>
    </row>
    <row r="443" spans="2:3" s="68" customFormat="1">
      <c r="B443" s="70"/>
      <c r="C443" s="67"/>
    </row>
    <row r="444" spans="2:3" s="68" customFormat="1">
      <c r="B444" s="70"/>
      <c r="C444" s="67"/>
    </row>
    <row r="445" spans="2:3" s="68" customFormat="1">
      <c r="B445" s="70"/>
      <c r="C445" s="67"/>
    </row>
    <row r="446" spans="2:3" s="68" customFormat="1">
      <c r="B446" s="70"/>
      <c r="C446" s="67"/>
    </row>
    <row r="447" spans="2:3" s="68" customFormat="1">
      <c r="B447" s="70"/>
      <c r="C447" s="67"/>
    </row>
    <row r="448" spans="2:3" s="68" customFormat="1">
      <c r="B448" s="70"/>
      <c r="C448" s="67"/>
    </row>
    <row r="449" spans="2:3" s="68" customFormat="1">
      <c r="B449" s="70"/>
      <c r="C449" s="67"/>
    </row>
    <row r="450" spans="2:3" s="68" customFormat="1">
      <c r="B450" s="70"/>
      <c r="C450" s="67"/>
    </row>
    <row r="451" spans="2:3" s="68" customFormat="1">
      <c r="B451" s="70"/>
      <c r="C451" s="67"/>
    </row>
    <row r="452" spans="2:3" s="68" customFormat="1">
      <c r="B452" s="70"/>
      <c r="C452" s="67"/>
    </row>
    <row r="453" spans="2:3" s="68" customFormat="1">
      <c r="B453" s="70"/>
      <c r="C453" s="67"/>
    </row>
    <row r="454" spans="2:3" s="68" customFormat="1">
      <c r="B454" s="70"/>
      <c r="C454" s="67"/>
    </row>
    <row r="455" spans="2:3" s="68" customFormat="1">
      <c r="B455" s="70"/>
      <c r="C455" s="67"/>
    </row>
    <row r="456" spans="2:3" s="68" customFormat="1">
      <c r="B456" s="70"/>
      <c r="C456" s="67"/>
    </row>
    <row r="457" spans="2:3" s="68" customFormat="1">
      <c r="B457" s="70"/>
      <c r="C457" s="67"/>
    </row>
    <row r="458" spans="2:3" s="68" customFormat="1">
      <c r="B458" s="70"/>
      <c r="C458" s="67"/>
    </row>
    <row r="459" spans="2:3" s="68" customFormat="1">
      <c r="B459" s="70"/>
      <c r="C459" s="67"/>
    </row>
    <row r="460" spans="2:3" s="68" customFormat="1">
      <c r="B460" s="70"/>
      <c r="C460" s="67"/>
    </row>
    <row r="461" spans="2:3" s="68" customFormat="1">
      <c r="B461" s="70"/>
      <c r="C461" s="67"/>
    </row>
    <row r="462" spans="2:3" s="68" customFormat="1">
      <c r="B462" s="70"/>
      <c r="C462" s="67"/>
    </row>
    <row r="463" spans="2:3" s="68" customFormat="1">
      <c r="B463" s="70"/>
      <c r="C463" s="67"/>
    </row>
    <row r="464" spans="2:3" s="68" customFormat="1">
      <c r="B464" s="70"/>
      <c r="C464" s="67"/>
    </row>
    <row r="465" spans="2:3" s="68" customFormat="1">
      <c r="B465" s="70"/>
      <c r="C465" s="67"/>
    </row>
    <row r="466" spans="2:3" s="68" customFormat="1">
      <c r="B466" s="70"/>
      <c r="C466" s="67"/>
    </row>
    <row r="467" spans="2:3" s="68" customFormat="1">
      <c r="B467" s="70"/>
      <c r="C467" s="67"/>
    </row>
    <row r="468" spans="2:3" s="68" customFormat="1">
      <c r="B468" s="70"/>
      <c r="C468" s="67"/>
    </row>
    <row r="469" spans="2:3" s="68" customFormat="1">
      <c r="B469" s="70"/>
      <c r="C469" s="67"/>
    </row>
    <row r="470" spans="2:3" s="68" customFormat="1">
      <c r="B470" s="70"/>
      <c r="C470" s="67"/>
    </row>
    <row r="471" spans="2:3" s="68" customFormat="1">
      <c r="B471" s="70"/>
      <c r="C471" s="67"/>
    </row>
    <row r="472" spans="2:3" s="68" customFormat="1">
      <c r="B472" s="70"/>
      <c r="C472" s="67"/>
    </row>
    <row r="473" spans="2:3" s="68" customFormat="1">
      <c r="B473" s="70"/>
      <c r="C473" s="67"/>
    </row>
    <row r="474" spans="2:3" s="68" customFormat="1">
      <c r="B474" s="70"/>
      <c r="C474" s="67"/>
    </row>
    <row r="475" spans="2:3" s="68" customFormat="1">
      <c r="B475" s="70"/>
      <c r="C475" s="67"/>
    </row>
    <row r="476" spans="2:3" s="68" customFormat="1">
      <c r="B476" s="70"/>
      <c r="C476" s="67"/>
    </row>
    <row r="477" spans="2:3" s="68" customFormat="1">
      <c r="B477" s="70"/>
      <c r="C477" s="67"/>
    </row>
    <row r="478" spans="2:3" s="68" customFormat="1">
      <c r="B478" s="70"/>
      <c r="C478" s="67"/>
    </row>
    <row r="479" spans="2:3" s="68" customFormat="1">
      <c r="B479" s="70"/>
      <c r="C479" s="67"/>
    </row>
    <row r="480" spans="2:3" s="68" customFormat="1">
      <c r="B480" s="70"/>
      <c r="C480" s="67"/>
    </row>
    <row r="481" spans="2:3" s="68" customFormat="1">
      <c r="B481" s="70"/>
      <c r="C481" s="67"/>
    </row>
    <row r="482" spans="2:3" s="68" customFormat="1">
      <c r="B482" s="70"/>
      <c r="C482" s="67"/>
    </row>
    <row r="483" spans="2:3" s="68" customFormat="1">
      <c r="B483" s="70"/>
      <c r="C483" s="67"/>
    </row>
    <row r="484" spans="2:3" s="68" customFormat="1">
      <c r="B484" s="70"/>
      <c r="C484" s="67"/>
    </row>
    <row r="485" spans="2:3" s="68" customFormat="1">
      <c r="B485" s="70"/>
      <c r="C485" s="67"/>
    </row>
    <row r="486" spans="2:3" s="68" customFormat="1">
      <c r="B486" s="70"/>
      <c r="C486" s="67"/>
    </row>
    <row r="487" spans="2:3" s="68" customFormat="1">
      <c r="B487" s="70"/>
      <c r="C487" s="67"/>
    </row>
    <row r="488" spans="2:3" s="68" customFormat="1">
      <c r="B488" s="70"/>
      <c r="C488" s="67"/>
    </row>
    <row r="489" spans="2:3" s="68" customFormat="1">
      <c r="B489" s="70"/>
      <c r="C489" s="67"/>
    </row>
    <row r="490" spans="2:3" s="68" customFormat="1">
      <c r="B490" s="70"/>
      <c r="C490" s="67"/>
    </row>
    <row r="491" spans="2:3" s="68" customFormat="1">
      <c r="B491" s="70"/>
      <c r="C491" s="67"/>
    </row>
    <row r="492" spans="2:3" s="68" customFormat="1">
      <c r="B492" s="70"/>
      <c r="C492" s="67"/>
    </row>
    <row r="493" spans="2:3" s="68" customFormat="1">
      <c r="B493" s="70"/>
      <c r="C493" s="67"/>
    </row>
    <row r="494" spans="2:3" s="68" customFormat="1">
      <c r="B494" s="70"/>
      <c r="C494" s="67"/>
    </row>
    <row r="495" spans="2:3" s="68" customFormat="1">
      <c r="B495" s="70"/>
      <c r="C495" s="67"/>
    </row>
    <row r="496" spans="2:3" s="68" customFormat="1">
      <c r="B496" s="70"/>
      <c r="C496" s="67"/>
    </row>
    <row r="497" spans="2:3" s="68" customFormat="1">
      <c r="B497" s="70"/>
      <c r="C497" s="67"/>
    </row>
    <row r="498" spans="2:3" s="68" customFormat="1">
      <c r="B498" s="70"/>
      <c r="C498" s="67"/>
    </row>
    <row r="499" spans="2:3" s="68" customFormat="1">
      <c r="B499" s="70"/>
      <c r="C499" s="67"/>
    </row>
    <row r="500" spans="2:3" s="68" customFormat="1">
      <c r="B500" s="70"/>
      <c r="C500" s="67"/>
    </row>
    <row r="501" spans="2:3" s="68" customFormat="1">
      <c r="B501" s="70"/>
      <c r="C501" s="67"/>
    </row>
    <row r="502" spans="2:3" s="68" customFormat="1">
      <c r="B502" s="70"/>
      <c r="C502" s="67"/>
    </row>
    <row r="503" spans="2:3" s="68" customFormat="1">
      <c r="B503" s="70"/>
      <c r="C503" s="67"/>
    </row>
    <row r="504" spans="2:3" s="68" customFormat="1">
      <c r="B504" s="70"/>
      <c r="C504" s="67"/>
    </row>
    <row r="505" spans="2:3" s="68" customFormat="1">
      <c r="B505" s="70"/>
      <c r="C505" s="67"/>
    </row>
    <row r="506" spans="2:3" s="68" customFormat="1">
      <c r="B506" s="70"/>
      <c r="C506" s="67"/>
    </row>
    <row r="507" spans="2:3" s="68" customFormat="1">
      <c r="B507" s="70"/>
      <c r="C507" s="67"/>
    </row>
    <row r="508" spans="2:3" s="68" customFormat="1">
      <c r="B508" s="70"/>
      <c r="C508" s="67"/>
    </row>
    <row r="509" spans="2:3" s="68" customFormat="1">
      <c r="B509" s="70"/>
      <c r="C509" s="67"/>
    </row>
    <row r="510" spans="2:3" s="68" customFormat="1">
      <c r="B510" s="70"/>
      <c r="C510" s="67"/>
    </row>
    <row r="511" spans="2:3" s="68" customFormat="1">
      <c r="B511" s="70"/>
      <c r="C511" s="67"/>
    </row>
    <row r="512" spans="2:3" s="68" customFormat="1">
      <c r="B512" s="70"/>
      <c r="C512" s="67"/>
    </row>
    <row r="513" spans="2:3" s="68" customFormat="1">
      <c r="B513" s="70"/>
      <c r="C513" s="67"/>
    </row>
    <row r="514" spans="2:3" s="68" customFormat="1">
      <c r="B514" s="70"/>
      <c r="C514" s="67"/>
    </row>
    <row r="515" spans="2:3" s="68" customFormat="1">
      <c r="B515" s="70"/>
      <c r="C515" s="67"/>
    </row>
    <row r="516" spans="2:3" s="68" customFormat="1">
      <c r="B516" s="70"/>
      <c r="C516" s="67"/>
    </row>
    <row r="517" spans="2:3" s="68" customFormat="1">
      <c r="B517" s="70"/>
      <c r="C517" s="67"/>
    </row>
    <row r="518" spans="2:3" s="68" customFormat="1">
      <c r="B518" s="70"/>
      <c r="C518" s="67"/>
    </row>
    <row r="519" spans="2:3" s="68" customFormat="1">
      <c r="B519" s="70"/>
      <c r="C519" s="67"/>
    </row>
    <row r="520" spans="2:3" s="68" customFormat="1">
      <c r="B520" s="70"/>
      <c r="C520" s="67"/>
    </row>
    <row r="521" spans="2:3" s="68" customFormat="1">
      <c r="B521" s="70"/>
      <c r="C521" s="67"/>
    </row>
    <row r="522" spans="2:3" s="68" customFormat="1">
      <c r="B522" s="70"/>
      <c r="C522" s="67"/>
    </row>
    <row r="523" spans="2:3" s="68" customFormat="1">
      <c r="B523" s="70"/>
      <c r="C523" s="67"/>
    </row>
    <row r="524" spans="2:3" s="68" customFormat="1">
      <c r="B524" s="70"/>
      <c r="C524" s="67"/>
    </row>
    <row r="525" spans="2:3" s="68" customFormat="1">
      <c r="B525" s="70"/>
      <c r="C525" s="67"/>
    </row>
    <row r="526" spans="2:3" s="68" customFormat="1">
      <c r="B526" s="70"/>
      <c r="C526" s="67"/>
    </row>
    <row r="527" spans="2:3" s="68" customFormat="1">
      <c r="B527" s="70"/>
      <c r="C527" s="67"/>
    </row>
    <row r="528" spans="2:3" s="68" customFormat="1">
      <c r="B528" s="70"/>
      <c r="C528" s="67"/>
    </row>
    <row r="529" spans="2:3" s="68" customFormat="1">
      <c r="B529" s="70"/>
      <c r="C529" s="67"/>
    </row>
    <row r="530" spans="2:3" s="68" customFormat="1">
      <c r="B530" s="70"/>
      <c r="C530" s="67"/>
    </row>
    <row r="531" spans="2:3" s="68" customFormat="1">
      <c r="B531" s="70"/>
      <c r="C531" s="67"/>
    </row>
    <row r="532" spans="2:3" s="68" customFormat="1">
      <c r="B532" s="70"/>
      <c r="C532" s="67"/>
    </row>
    <row r="533" spans="2:3" s="68" customFormat="1">
      <c r="B533" s="70"/>
      <c r="C533" s="67"/>
    </row>
    <row r="534" spans="2:3" s="68" customFormat="1">
      <c r="B534" s="70"/>
      <c r="C534" s="67"/>
    </row>
    <row r="535" spans="2:3" s="68" customFormat="1">
      <c r="B535" s="70"/>
      <c r="C535" s="67"/>
    </row>
    <row r="536" spans="2:3" s="68" customFormat="1">
      <c r="B536" s="70"/>
      <c r="C536" s="67"/>
    </row>
    <row r="537" spans="2:3" s="68" customFormat="1">
      <c r="B537" s="70"/>
      <c r="C537" s="67"/>
    </row>
    <row r="538" spans="2:3" s="68" customFormat="1">
      <c r="B538" s="70"/>
      <c r="C538" s="67"/>
    </row>
    <row r="539" spans="2:3" s="68" customFormat="1">
      <c r="B539" s="70"/>
      <c r="C539" s="67"/>
    </row>
    <row r="540" spans="2:3" s="68" customFormat="1">
      <c r="B540" s="70"/>
      <c r="C540" s="67"/>
    </row>
    <row r="541" spans="2:3" s="68" customFormat="1">
      <c r="B541" s="70"/>
      <c r="C541" s="67"/>
    </row>
    <row r="542" spans="2:3" s="68" customFormat="1">
      <c r="B542" s="70"/>
      <c r="C542" s="67"/>
    </row>
    <row r="543" spans="2:3" s="68" customFormat="1">
      <c r="B543" s="70"/>
      <c r="C543" s="67"/>
    </row>
    <row r="544" spans="2:3" s="68" customFormat="1">
      <c r="B544" s="70"/>
      <c r="C544" s="67"/>
    </row>
    <row r="545" spans="2:3" s="68" customFormat="1">
      <c r="B545" s="70"/>
      <c r="C545" s="67"/>
    </row>
    <row r="546" spans="2:3" s="68" customFormat="1">
      <c r="B546" s="70"/>
      <c r="C546" s="67"/>
    </row>
    <row r="547" spans="2:3" s="68" customFormat="1">
      <c r="B547" s="70"/>
      <c r="C547" s="67"/>
    </row>
    <row r="548" spans="2:3" s="68" customFormat="1">
      <c r="B548" s="70"/>
      <c r="C548" s="67"/>
    </row>
    <row r="549" spans="2:3" s="68" customFormat="1">
      <c r="B549" s="70"/>
      <c r="C549" s="67"/>
    </row>
    <row r="550" spans="2:3" s="68" customFormat="1">
      <c r="B550" s="70"/>
      <c r="C550" s="67"/>
    </row>
    <row r="551" spans="2:3" s="68" customFormat="1">
      <c r="B551" s="70"/>
      <c r="C551" s="67"/>
    </row>
    <row r="552" spans="2:3" s="68" customFormat="1">
      <c r="B552" s="70"/>
      <c r="C552" s="67"/>
    </row>
    <row r="553" spans="2:3" s="68" customFormat="1">
      <c r="B553" s="70"/>
      <c r="C553" s="67"/>
    </row>
    <row r="554" spans="2:3" s="68" customFormat="1">
      <c r="B554" s="70"/>
      <c r="C554" s="67"/>
    </row>
    <row r="555" spans="2:3" s="68" customFormat="1">
      <c r="B555" s="70"/>
      <c r="C555" s="67"/>
    </row>
    <row r="556" spans="2:3" s="68" customFormat="1">
      <c r="B556" s="70"/>
      <c r="C556" s="67"/>
    </row>
    <row r="557" spans="2:3" s="68" customFormat="1">
      <c r="B557" s="70"/>
      <c r="C557" s="67"/>
    </row>
    <row r="558" spans="2:3" s="68" customFormat="1">
      <c r="B558" s="70"/>
      <c r="C558" s="67"/>
    </row>
    <row r="559" spans="2:3" s="68" customFormat="1">
      <c r="B559" s="70"/>
      <c r="C559" s="67"/>
    </row>
    <row r="560" spans="2:3" s="68" customFormat="1">
      <c r="B560" s="70"/>
      <c r="C560" s="67"/>
    </row>
    <row r="561" spans="2:3" s="68" customFormat="1">
      <c r="B561" s="70"/>
      <c r="C561" s="67"/>
    </row>
    <row r="562" spans="2:3" s="68" customFormat="1">
      <c r="B562" s="70"/>
      <c r="C562" s="67"/>
    </row>
    <row r="563" spans="2:3" s="68" customFormat="1">
      <c r="B563" s="70"/>
      <c r="C563" s="67"/>
    </row>
    <row r="564" spans="2:3" s="68" customFormat="1">
      <c r="B564" s="70"/>
      <c r="C564" s="67"/>
    </row>
    <row r="565" spans="2:3" s="68" customFormat="1">
      <c r="B565" s="70"/>
      <c r="C565" s="67"/>
    </row>
    <row r="566" spans="2:3" s="68" customFormat="1">
      <c r="B566" s="70"/>
      <c r="C566" s="67"/>
    </row>
    <row r="567" spans="2:3" s="68" customFormat="1">
      <c r="B567" s="70"/>
      <c r="C567" s="67"/>
    </row>
    <row r="568" spans="2:3" s="68" customFormat="1">
      <c r="B568" s="70"/>
      <c r="C568" s="67"/>
    </row>
    <row r="569" spans="2:3" s="68" customFormat="1">
      <c r="B569" s="70"/>
      <c r="C569" s="67"/>
    </row>
    <row r="570" spans="2:3" s="68" customFormat="1">
      <c r="B570" s="70"/>
      <c r="C570" s="67"/>
    </row>
    <row r="571" spans="2:3" s="68" customFormat="1">
      <c r="B571" s="70"/>
      <c r="C571" s="67"/>
    </row>
    <row r="572" spans="2:3" s="68" customFormat="1">
      <c r="B572" s="70"/>
      <c r="C572" s="67"/>
    </row>
    <row r="573" spans="2:3" s="68" customFormat="1">
      <c r="B573" s="70"/>
      <c r="C573" s="67"/>
    </row>
    <row r="574" spans="2:3" s="68" customFormat="1">
      <c r="B574" s="70"/>
      <c r="C574" s="67"/>
    </row>
    <row r="575" spans="2:3" s="68" customFormat="1">
      <c r="B575" s="70"/>
      <c r="C575" s="67"/>
    </row>
    <row r="576" spans="2:3" s="68" customFormat="1">
      <c r="B576" s="70"/>
      <c r="C576" s="67"/>
    </row>
    <row r="577" spans="2:3" s="68" customFormat="1">
      <c r="B577" s="70"/>
      <c r="C577" s="67"/>
    </row>
    <row r="578" spans="2:3" s="68" customFormat="1">
      <c r="B578" s="70"/>
      <c r="C578" s="67"/>
    </row>
    <row r="579" spans="2:3" s="68" customFormat="1">
      <c r="B579" s="70"/>
      <c r="C579" s="67"/>
    </row>
    <row r="580" spans="2:3" s="68" customFormat="1">
      <c r="B580" s="70"/>
      <c r="C580" s="67"/>
    </row>
    <row r="581" spans="2:3" s="68" customFormat="1">
      <c r="B581" s="70"/>
      <c r="C581" s="67"/>
    </row>
    <row r="582" spans="2:3" s="68" customFormat="1">
      <c r="B582" s="70"/>
      <c r="C582" s="67"/>
    </row>
    <row r="583" spans="2:3" s="68" customFormat="1">
      <c r="B583" s="70"/>
      <c r="C583" s="67"/>
    </row>
    <row r="584" spans="2:3" s="68" customFormat="1">
      <c r="B584" s="70"/>
      <c r="C584" s="67"/>
    </row>
    <row r="585" spans="2:3" s="68" customFormat="1">
      <c r="B585" s="70"/>
      <c r="C585" s="67"/>
    </row>
    <row r="586" spans="2:3" s="68" customFormat="1">
      <c r="B586" s="70"/>
      <c r="C586" s="67"/>
    </row>
    <row r="587" spans="2:3" s="68" customFormat="1">
      <c r="B587" s="70"/>
      <c r="C587" s="67"/>
    </row>
  </sheetData>
  <conditionalFormatting sqref="I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{18818FF0-AE7B-4658-B449-4FB5EDCB7EBB}</x14:id>
        </ext>
      </extLst>
    </cfRule>
  </conditionalFormatting>
  <conditionalFormatting sqref="E7:F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{F500114A-806C-41A8-B067-2463D28CAB3F}</x14:id>
        </ext>
      </extLst>
    </cfRule>
  </conditionalFormatting>
  <conditionalFormatting sqref="E7:F7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{5A014C41-8ED9-4404-95A3-EA5596F4B141}</x14:id>
        </ext>
      </extLst>
    </cfRule>
  </conditionalFormatting>
  <conditionalFormatting sqref="I2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{E2743FC0-D7D4-4677-978E-FC628B72EC5B}</x14:id>
        </ext>
      </extLst>
    </cfRule>
  </conditionalFormatting>
  <conditionalFormatting sqref="E2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{6221BE47-8596-494F-A507-BD8657B3FF7E}</x14:id>
        </ext>
      </extLst>
    </cfRule>
  </conditionalFormatting>
  <conditionalFormatting sqref="E2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{D9DDE86A-32C8-461C-BF12-9718F2D3D758}</x14:id>
        </ext>
      </extLst>
    </cfRule>
  </conditionalFormatting>
  <conditionalFormatting sqref="F2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{A19CF721-09B3-437A-B289-78E037D69FCD}</x14:id>
        </ext>
      </extLst>
    </cfRule>
  </conditionalFormatting>
  <conditionalFormatting sqref="F2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{507AC5F9-421B-4A04-9664-B3E1DF772103}</x14:id>
        </ext>
      </extLst>
    </cfRule>
  </conditionalFormatting>
  <conditionalFormatting sqref="I2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{FAE8E26A-8A30-484C-AA0B-B7771A8F7BED}</x14:id>
        </ext>
      </extLst>
    </cfRule>
  </conditionalFormatting>
  <conditionalFormatting sqref="E25:F2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{9573392A-74D6-4FE2-8185-D87691A2831F}</x14:id>
        </ext>
      </extLst>
    </cfRule>
  </conditionalFormatting>
  <conditionalFormatting sqref="E25:F2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{0E763CCB-8A4A-4E8D-991B-BEBC237EB558}</x14:id>
        </ext>
      </extLst>
    </cfRule>
  </conditionalFormatting>
  <conditionalFormatting sqref="I2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{2710B8E0-3361-4E14-A59D-2609050CF0B2}</x14:id>
        </ext>
      </extLst>
    </cfRule>
  </conditionalFormatting>
  <conditionalFormatting sqref="E24:F2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{20E7BF23-4D08-4C3E-8801-025A2F3E5900}</x14:id>
        </ext>
      </extLst>
    </cfRule>
  </conditionalFormatting>
  <conditionalFormatting sqref="E24:F2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{1EA04008-A248-46A6-8271-F4F28B8E36EA}</x14:id>
        </ext>
      </extLst>
    </cfRule>
  </conditionalFormatting>
  <conditionalFormatting sqref="I2:I6 I8:I20 I22:I23 I26:I28 I30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{BABD306C-DEC7-4CDF-B7B0-D3A9C10006F4}</x14:id>
        </ext>
      </extLst>
    </cfRule>
  </conditionalFormatting>
  <conditionalFormatting sqref="E2:F6 E8:F20 E22:F23 E26:F28 E30:F30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{342E77CB-4989-452B-B973-9CBBEB7EEBD1}</x14:id>
        </ext>
      </extLst>
    </cfRule>
  </conditionalFormatting>
  <conditionalFormatting sqref="E29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{C853E23B-16CC-4FFF-BBEE-3C479F3FC805}</x14:id>
        </ext>
      </extLst>
    </cfRule>
  </conditionalFormatting>
  <conditionalFormatting sqref="E29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{6E3AC1FE-9296-4D0E-8CF8-36088B64C76F}</x14:id>
        </ext>
      </extLst>
    </cfRule>
  </conditionalFormatting>
  <conditionalFormatting sqref="E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{76073370-BB37-49E2-8F19-628CD06F434F}</x14:id>
        </ext>
      </extLst>
    </cfRule>
  </conditionalFormatting>
  <conditionalFormatting sqref="E3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{D85C1DA0-C42E-4666-8509-7D73F607B235}</x14:id>
        </ext>
      </extLst>
    </cfRule>
  </conditionalFormatting>
  <conditionalFormatting sqref="E3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{5C5D8A38-332D-4A8D-A527-3F7891E02F36}</x14:id>
        </ext>
      </extLst>
    </cfRule>
  </conditionalFormatting>
  <conditionalFormatting sqref="E33:F33 E2:F6 I9 E8:F20 E22:F23 E26:F28 E30:F30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{E070010A-D661-496E-B627-4E168E2E7938}</x14:id>
        </ext>
      </extLst>
    </cfRule>
  </conditionalFormatting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ExportSpaceJson">
                <anchor moveWithCells="1" sizeWithCells="1">
                  <from>
                    <xdr:col>1</xdr:col>
                    <xdr:colOff>3724275</xdr:colOff>
                    <xdr:row>1</xdr:row>
                    <xdr:rowOff>38100</xdr:rowOff>
                  </from>
                  <to>
                    <xdr:col>1</xdr:col>
                    <xdr:colOff>4781550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818FF0-AE7B-4658-B449-4FB5EDCB7E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F500114A-806C-41A8-B067-2463D28CAB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E7:F7</xm:sqref>
        </x14:conditionalFormatting>
        <x14:conditionalFormatting xmlns:xm="http://schemas.microsoft.com/office/excel/2006/main">
          <x14:cfRule type="dataBar" id="{5A014C41-8ED9-4404-95A3-EA5596F4B1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E7:F7</xm:sqref>
        </x14:conditionalFormatting>
        <x14:conditionalFormatting xmlns:xm="http://schemas.microsoft.com/office/excel/2006/main">
          <x14:cfRule type="dataBar" id="{E2743FC0-D7D4-4677-978E-FC628B72EC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6221BE47-8596-494F-A507-BD8657B3FF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D9DDE86A-32C8-461C-BF12-9718F2D3D7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A19CF721-09B3-437A-B289-78E037D69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F21</xm:sqref>
        </x14:conditionalFormatting>
        <x14:conditionalFormatting xmlns:xm="http://schemas.microsoft.com/office/excel/2006/main">
          <x14:cfRule type="dataBar" id="{507AC5F9-421B-4A04-9664-B3E1DF7721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F21</xm:sqref>
        </x14:conditionalFormatting>
        <x14:conditionalFormatting xmlns:xm="http://schemas.microsoft.com/office/excel/2006/main">
          <x14:cfRule type="dataBar" id="{FAE8E26A-8A30-484C-AA0B-B7771A8F7BE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9573392A-74D6-4FE2-8185-D87691A283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E25:F25</xm:sqref>
        </x14:conditionalFormatting>
        <x14:conditionalFormatting xmlns:xm="http://schemas.microsoft.com/office/excel/2006/main">
          <x14:cfRule type="dataBar" id="{0E763CCB-8A4A-4E8D-991B-BEBC237EB5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E25:F25</xm:sqref>
        </x14:conditionalFormatting>
        <x14:conditionalFormatting xmlns:xm="http://schemas.microsoft.com/office/excel/2006/main">
          <x14:cfRule type="dataBar" id="{2710B8E0-3361-4E14-A59D-2609050CF0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0E7BF23-4D08-4C3E-8801-025A2F3E59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E24:F24</xm:sqref>
        </x14:conditionalFormatting>
        <x14:conditionalFormatting xmlns:xm="http://schemas.microsoft.com/office/excel/2006/main">
          <x14:cfRule type="dataBar" id="{1EA04008-A248-46A6-8271-F4F28B8E36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E24:F24</xm:sqref>
        </x14:conditionalFormatting>
        <x14:conditionalFormatting xmlns:xm="http://schemas.microsoft.com/office/excel/2006/main">
          <x14:cfRule type="dataBar" id="{BABD306C-DEC7-4CDF-B7B0-D3A9C10006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 I8:I20 I22:I23 I26:I28 I30</xm:sqref>
        </x14:conditionalFormatting>
        <x14:conditionalFormatting xmlns:xm="http://schemas.microsoft.com/office/excel/2006/main">
          <x14:cfRule type="dataBar" id="{342E77CB-4989-452B-B973-9CBBEB7EEB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E2:F6 E8:F20 E22:F23 E26:F28 E30:F30</xm:sqref>
        </x14:conditionalFormatting>
        <x14:conditionalFormatting xmlns:xm="http://schemas.microsoft.com/office/excel/2006/main">
          <x14:cfRule type="dataBar" id="{C853E23B-16CC-4FFF-BBEE-3C479F3FC8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6E3AC1FE-9296-4D0E-8CF8-36088B64C7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76073370-BB37-49E2-8F19-628CD06F43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D85C1DA0-C42E-4666-8509-7D73F607B2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5C5D8A38-332D-4A8D-A527-3F7891E02F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E32</xm:sqref>
        </x14:conditionalFormatting>
        <x14:conditionalFormatting xmlns:xm="http://schemas.microsoft.com/office/excel/2006/main">
          <x14:cfRule type="dataBar" id="{E070010A-D661-496E-B627-4E168E2E79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E33:F33 E2:F6 I9 E8:F20 E22:F23 E26:F28 E30:F30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4670-7520-45E0-8AD3-9177C8F84999}">
  <dimension ref="A1:I32"/>
  <sheetViews>
    <sheetView tabSelected="1" workbookViewId="0">
      <selection sqref="A1:I32"/>
    </sheetView>
  </sheetViews>
  <sheetFormatPr defaultRowHeight="15"/>
  <sheetData>
    <row r="1" spans="1:9" ht="165">
      <c r="A1" s="29">
        <v>3</v>
      </c>
      <c r="B1" s="29" t="s">
        <v>911</v>
      </c>
      <c r="C1" s="29">
        <v>13057</v>
      </c>
      <c r="D1" s="29">
        <v>13175</v>
      </c>
      <c r="E1" s="29">
        <f>D1-C1 + 1</f>
        <v>119</v>
      </c>
      <c r="F1" s="29"/>
      <c r="G1" s="29" t="s">
        <v>277</v>
      </c>
      <c r="H1" s="29">
        <v>17003</v>
      </c>
      <c r="I1" s="29">
        <v>125</v>
      </c>
    </row>
    <row r="2" spans="1:9" ht="150">
      <c r="A2" s="29">
        <v>3</v>
      </c>
      <c r="B2" s="29" t="s">
        <v>912</v>
      </c>
      <c r="C2" s="71">
        <v>13569</v>
      </c>
      <c r="D2" s="71">
        <v>13689</v>
      </c>
      <c r="E2" s="29">
        <f>D2-C2 + 1</f>
        <v>121</v>
      </c>
      <c r="F2" s="29"/>
      <c r="G2" s="29"/>
      <c r="H2" s="29"/>
      <c r="I2" s="29"/>
    </row>
    <row r="3" spans="1:9" ht="150">
      <c r="A3" s="29">
        <v>3</v>
      </c>
      <c r="B3" s="29" t="s">
        <v>913</v>
      </c>
      <c r="C3" s="71">
        <v>13825</v>
      </c>
      <c r="D3" s="71">
        <v>13945</v>
      </c>
      <c r="E3" s="29">
        <f>D3-C3 + 1</f>
        <v>121</v>
      </c>
      <c r="F3" s="29"/>
      <c r="G3" s="29"/>
      <c r="H3" s="29"/>
      <c r="I3" s="29"/>
    </row>
    <row r="4" spans="1:9" ht="210">
      <c r="A4" s="29">
        <v>3</v>
      </c>
      <c r="B4" s="70" t="s">
        <v>914</v>
      </c>
      <c r="C4" s="29">
        <v>16385</v>
      </c>
      <c r="D4" s="29">
        <v>16450</v>
      </c>
      <c r="E4" s="29">
        <f>D4-C4 + 1</f>
        <v>66</v>
      </c>
      <c r="F4" s="29"/>
      <c r="G4" s="29" t="s">
        <v>277</v>
      </c>
      <c r="H4" s="29">
        <v>17003</v>
      </c>
      <c r="I4" s="29">
        <v>125</v>
      </c>
    </row>
    <row r="5" spans="1:9" ht="225">
      <c r="A5" s="29">
        <v>3</v>
      </c>
      <c r="B5" s="29" t="s">
        <v>915</v>
      </c>
      <c r="C5" s="71">
        <v>17409</v>
      </c>
      <c r="D5" s="71">
        <v>17431</v>
      </c>
      <c r="E5" s="29">
        <f t="shared" ref="E5:E28" si="0">D5-C5 + 1</f>
        <v>23</v>
      </c>
      <c r="F5" s="29"/>
      <c r="G5" s="29" t="s">
        <v>277</v>
      </c>
      <c r="H5" s="29">
        <v>17003</v>
      </c>
      <c r="I5" s="29">
        <v>125</v>
      </c>
    </row>
    <row r="6" spans="1:9" ht="225">
      <c r="A6" s="29">
        <v>16</v>
      </c>
      <c r="B6" s="29" t="s">
        <v>915</v>
      </c>
      <c r="C6" s="71">
        <v>17409</v>
      </c>
      <c r="D6" s="71">
        <v>17431</v>
      </c>
      <c r="E6" s="29">
        <f t="shared" si="0"/>
        <v>23</v>
      </c>
      <c r="F6" s="29" t="s">
        <v>916</v>
      </c>
      <c r="G6" s="29" t="s">
        <v>277</v>
      </c>
      <c r="H6" s="29">
        <v>17003</v>
      </c>
      <c r="I6" s="29">
        <v>125</v>
      </c>
    </row>
    <row r="7" spans="1:9" ht="195">
      <c r="A7" s="29">
        <v>3</v>
      </c>
      <c r="B7" s="29" t="s">
        <v>917</v>
      </c>
      <c r="C7" s="71">
        <v>17665</v>
      </c>
      <c r="D7" s="71">
        <v>17686</v>
      </c>
      <c r="E7" s="29">
        <f t="shared" si="0"/>
        <v>22</v>
      </c>
      <c r="F7" s="29"/>
      <c r="G7" s="29" t="s">
        <v>277</v>
      </c>
      <c r="H7" s="29">
        <v>17003</v>
      </c>
      <c r="I7" s="29">
        <v>125</v>
      </c>
    </row>
    <row r="8" spans="1:9" ht="225">
      <c r="A8" s="29">
        <v>3</v>
      </c>
      <c r="B8" s="29" t="s">
        <v>918</v>
      </c>
      <c r="C8" s="71">
        <v>18433</v>
      </c>
      <c r="D8" s="71">
        <v>18550</v>
      </c>
      <c r="E8" s="29">
        <f t="shared" si="0"/>
        <v>118</v>
      </c>
      <c r="F8" s="29"/>
      <c r="G8" s="29" t="s">
        <v>277</v>
      </c>
      <c r="H8" s="29">
        <v>17003</v>
      </c>
      <c r="I8" s="29">
        <v>125</v>
      </c>
    </row>
    <row r="9" spans="1:9" ht="210">
      <c r="A9" s="29">
        <v>3</v>
      </c>
      <c r="B9" s="29" t="s">
        <v>919</v>
      </c>
      <c r="C9" s="71">
        <v>18689</v>
      </c>
      <c r="D9" s="71">
        <v>18775</v>
      </c>
      <c r="E9" s="29">
        <f t="shared" si="0"/>
        <v>87</v>
      </c>
      <c r="F9" s="29"/>
      <c r="G9" s="29" t="s">
        <v>277</v>
      </c>
      <c r="H9" s="29">
        <v>17003</v>
      </c>
      <c r="I9" s="29">
        <v>125</v>
      </c>
    </row>
    <row r="10" spans="1:9" ht="135">
      <c r="A10" s="29">
        <v>3</v>
      </c>
      <c r="B10" s="29" t="s">
        <v>737</v>
      </c>
      <c r="C10" s="29">
        <v>18945</v>
      </c>
      <c r="D10" s="29">
        <v>19012</v>
      </c>
      <c r="E10" s="29">
        <f t="shared" si="0"/>
        <v>68</v>
      </c>
      <c r="F10" s="29"/>
      <c r="G10" s="29" t="s">
        <v>277</v>
      </c>
      <c r="H10" s="29">
        <v>17003</v>
      </c>
      <c r="I10" s="29">
        <v>125</v>
      </c>
    </row>
    <row r="11" spans="1:9" ht="255">
      <c r="A11" s="29">
        <v>3</v>
      </c>
      <c r="B11" s="29" t="s">
        <v>920</v>
      </c>
      <c r="C11" s="71">
        <v>19457</v>
      </c>
      <c r="D11" s="29">
        <v>19502</v>
      </c>
      <c r="E11" s="29">
        <f t="shared" si="0"/>
        <v>46</v>
      </c>
      <c r="F11" s="29"/>
      <c r="G11" s="29" t="s">
        <v>277</v>
      </c>
      <c r="H11" s="29">
        <v>17003</v>
      </c>
      <c r="I11" s="29">
        <v>125</v>
      </c>
    </row>
    <row r="12" spans="1:9" ht="150">
      <c r="A12" s="29">
        <v>3</v>
      </c>
      <c r="B12" s="29" t="s">
        <v>742</v>
      </c>
      <c r="C12" s="29">
        <v>19713</v>
      </c>
      <c r="D12" s="29">
        <v>19741</v>
      </c>
      <c r="E12" s="29">
        <f t="shared" si="0"/>
        <v>29</v>
      </c>
      <c r="F12" s="29"/>
      <c r="G12" s="29" t="s">
        <v>277</v>
      </c>
      <c r="H12" s="29">
        <v>17003</v>
      </c>
      <c r="I12" s="29">
        <v>125</v>
      </c>
    </row>
    <row r="13" spans="1:9" ht="195">
      <c r="A13" s="29">
        <v>3</v>
      </c>
      <c r="B13" s="29" t="s">
        <v>921</v>
      </c>
      <c r="C13" s="29">
        <v>23297</v>
      </c>
      <c r="D13" s="71">
        <v>23338</v>
      </c>
      <c r="E13" s="29">
        <f t="shared" si="0"/>
        <v>42</v>
      </c>
      <c r="F13" s="29"/>
      <c r="G13" s="29" t="s">
        <v>277</v>
      </c>
      <c r="H13" s="29">
        <v>17003</v>
      </c>
      <c r="I13" s="29">
        <v>125</v>
      </c>
    </row>
    <row r="14" spans="1:9" ht="165">
      <c r="A14" s="29">
        <v>3</v>
      </c>
      <c r="B14" s="29" t="s">
        <v>922</v>
      </c>
      <c r="C14" s="29">
        <v>23553</v>
      </c>
      <c r="D14" s="71">
        <v>23648</v>
      </c>
      <c r="E14" s="29">
        <f t="shared" si="0"/>
        <v>96</v>
      </c>
      <c r="F14" s="29"/>
      <c r="G14" s="29" t="s">
        <v>277</v>
      </c>
      <c r="H14" s="29">
        <v>17003</v>
      </c>
      <c r="I14" s="29">
        <v>125</v>
      </c>
    </row>
    <row r="15" spans="1:9" ht="195">
      <c r="A15" s="29"/>
      <c r="B15" s="29" t="s">
        <v>923</v>
      </c>
      <c r="C15" s="71">
        <v>23809</v>
      </c>
      <c r="D15" s="71">
        <v>23822</v>
      </c>
      <c r="E15" s="29">
        <f t="shared" si="0"/>
        <v>14</v>
      </c>
      <c r="F15" s="29"/>
      <c r="G15" s="29"/>
      <c r="H15" s="29"/>
      <c r="I15" s="29"/>
    </row>
    <row r="16" spans="1:9" ht="180">
      <c r="A16" s="29">
        <v>3</v>
      </c>
      <c r="B16" s="70" t="s">
        <v>924</v>
      </c>
      <c r="C16" s="29">
        <v>24065</v>
      </c>
      <c r="D16" s="71">
        <v>24163</v>
      </c>
      <c r="E16" s="29">
        <f t="shared" si="0"/>
        <v>99</v>
      </c>
      <c r="F16" s="29"/>
      <c r="G16" s="29" t="s">
        <v>277</v>
      </c>
      <c r="H16" s="29">
        <v>17003</v>
      </c>
      <c r="I16" s="29">
        <v>125</v>
      </c>
    </row>
    <row r="17" spans="1:9" ht="180">
      <c r="A17" s="29">
        <v>3</v>
      </c>
      <c r="B17" s="29" t="s">
        <v>925</v>
      </c>
      <c r="C17" s="71">
        <v>24833</v>
      </c>
      <c r="D17" s="71">
        <v>24943</v>
      </c>
      <c r="E17" s="29">
        <f t="shared" si="0"/>
        <v>111</v>
      </c>
      <c r="F17" s="29"/>
      <c r="G17" s="29" t="s">
        <v>277</v>
      </c>
      <c r="H17" s="29">
        <v>17003</v>
      </c>
      <c r="I17" s="29">
        <v>125</v>
      </c>
    </row>
    <row r="18" spans="1:9" ht="195">
      <c r="A18" s="29">
        <v>3</v>
      </c>
      <c r="B18" s="29" t="s">
        <v>926</v>
      </c>
      <c r="C18" s="29">
        <v>25601</v>
      </c>
      <c r="D18" s="71">
        <v>25649</v>
      </c>
      <c r="E18" s="29">
        <f t="shared" si="0"/>
        <v>49</v>
      </c>
      <c r="F18" s="29"/>
      <c r="G18" s="29" t="s">
        <v>277</v>
      </c>
      <c r="H18" s="29">
        <v>17003</v>
      </c>
      <c r="I18" s="29">
        <v>125</v>
      </c>
    </row>
    <row r="19" spans="1:9" ht="315">
      <c r="A19" s="29">
        <v>3</v>
      </c>
      <c r="B19" s="29" t="s">
        <v>934</v>
      </c>
      <c r="C19" s="29">
        <v>32769</v>
      </c>
      <c r="D19" s="71">
        <v>32820</v>
      </c>
      <c r="E19" s="29">
        <f t="shared" si="0"/>
        <v>52</v>
      </c>
      <c r="F19" s="29"/>
      <c r="G19" s="29" t="s">
        <v>277</v>
      </c>
      <c r="H19" s="29">
        <v>17003</v>
      </c>
      <c r="I19" s="29">
        <v>125</v>
      </c>
    </row>
    <row r="20" spans="1:9" ht="315">
      <c r="A20" s="29">
        <v>16</v>
      </c>
      <c r="B20" s="29" t="s">
        <v>927</v>
      </c>
      <c r="C20" s="29">
        <v>32769</v>
      </c>
      <c r="D20" s="71">
        <v>32820</v>
      </c>
      <c r="E20" s="29">
        <f t="shared" si="0"/>
        <v>52</v>
      </c>
      <c r="F20" s="29" t="s">
        <v>916</v>
      </c>
      <c r="G20" s="29" t="s">
        <v>277</v>
      </c>
      <c r="H20" s="29">
        <v>17003</v>
      </c>
      <c r="I20" s="29">
        <v>125</v>
      </c>
    </row>
    <row r="21" spans="1:9" ht="255">
      <c r="A21" s="29">
        <v>3</v>
      </c>
      <c r="B21" s="29" t="s">
        <v>824</v>
      </c>
      <c r="C21" s="29">
        <v>33025</v>
      </c>
      <c r="D21" s="71">
        <v>33094</v>
      </c>
      <c r="E21" s="29">
        <f t="shared" si="0"/>
        <v>70</v>
      </c>
      <c r="F21" s="29"/>
      <c r="G21" s="29" t="s">
        <v>277</v>
      </c>
      <c r="H21" s="29">
        <v>17003</v>
      </c>
      <c r="I21" s="29">
        <v>125</v>
      </c>
    </row>
    <row r="22" spans="1:9" ht="240">
      <c r="A22" s="29">
        <v>3</v>
      </c>
      <c r="B22" s="29" t="s">
        <v>928</v>
      </c>
      <c r="C22" s="71">
        <v>33281</v>
      </c>
      <c r="D22" s="71">
        <v>33354</v>
      </c>
      <c r="E22" s="29">
        <f t="shared" si="0"/>
        <v>74</v>
      </c>
      <c r="F22" s="29"/>
      <c r="G22" s="29" t="s">
        <v>277</v>
      </c>
      <c r="H22" s="29">
        <v>17003</v>
      </c>
      <c r="I22" s="29">
        <v>125</v>
      </c>
    </row>
    <row r="23" spans="1:9" ht="240">
      <c r="A23" s="29">
        <v>16</v>
      </c>
      <c r="B23" s="29" t="s">
        <v>928</v>
      </c>
      <c r="C23" s="71">
        <v>33281</v>
      </c>
      <c r="D23" s="71">
        <v>33354</v>
      </c>
      <c r="E23" s="29">
        <f t="shared" si="0"/>
        <v>74</v>
      </c>
      <c r="F23" s="29"/>
      <c r="G23" s="29" t="s">
        <v>277</v>
      </c>
      <c r="H23" s="29">
        <v>17003</v>
      </c>
      <c r="I23" s="29">
        <v>125</v>
      </c>
    </row>
    <row r="24" spans="1:9" ht="360">
      <c r="A24" s="29">
        <v>3</v>
      </c>
      <c r="B24" s="29" t="s">
        <v>929</v>
      </c>
      <c r="C24" s="29">
        <v>33537</v>
      </c>
      <c r="D24" s="71">
        <v>33564</v>
      </c>
      <c r="E24" s="29">
        <f t="shared" si="0"/>
        <v>28</v>
      </c>
      <c r="F24" s="29"/>
      <c r="G24" s="29" t="s">
        <v>277</v>
      </c>
      <c r="H24" s="29">
        <v>17003</v>
      </c>
      <c r="I24" s="29">
        <v>125</v>
      </c>
    </row>
    <row r="25" spans="1:9" ht="210">
      <c r="A25" s="29">
        <v>3</v>
      </c>
      <c r="B25" s="29" t="s">
        <v>930</v>
      </c>
      <c r="C25" s="71">
        <v>40961</v>
      </c>
      <c r="D25" s="71">
        <v>40998</v>
      </c>
      <c r="E25" s="29">
        <f t="shared" si="0"/>
        <v>38</v>
      </c>
      <c r="F25" s="29"/>
      <c r="G25" s="29" t="s">
        <v>277</v>
      </c>
      <c r="H25" s="29">
        <v>17003</v>
      </c>
      <c r="I25" s="29">
        <v>125</v>
      </c>
    </row>
    <row r="26" spans="1:9" ht="210">
      <c r="A26" s="29">
        <v>3</v>
      </c>
      <c r="B26" s="29" t="s">
        <v>931</v>
      </c>
      <c r="C26" s="71">
        <v>41217</v>
      </c>
      <c r="D26" s="71">
        <v>41297</v>
      </c>
      <c r="E26" s="29">
        <f t="shared" si="0"/>
        <v>81</v>
      </c>
      <c r="F26" s="29"/>
      <c r="G26" s="29" t="s">
        <v>277</v>
      </c>
      <c r="H26" s="29">
        <v>17003</v>
      </c>
      <c r="I26" s="29">
        <v>125</v>
      </c>
    </row>
    <row r="27" spans="1:9" ht="180">
      <c r="A27" s="29">
        <v>3</v>
      </c>
      <c r="B27" s="29" t="s">
        <v>932</v>
      </c>
      <c r="C27" s="29">
        <v>41473</v>
      </c>
      <c r="D27" s="29">
        <v>41510</v>
      </c>
      <c r="E27" s="29">
        <f t="shared" si="0"/>
        <v>38</v>
      </c>
      <c r="F27" s="29"/>
      <c r="G27" s="29" t="s">
        <v>277</v>
      </c>
      <c r="H27" s="29">
        <v>17003</v>
      </c>
      <c r="I27" s="29">
        <v>125</v>
      </c>
    </row>
    <row r="28" spans="1:9" ht="90">
      <c r="A28" s="29">
        <v>3</v>
      </c>
      <c r="B28" s="29" t="s">
        <v>854</v>
      </c>
      <c r="C28" s="71">
        <v>41729</v>
      </c>
      <c r="D28" s="71">
        <v>41850</v>
      </c>
      <c r="E28" s="29">
        <f t="shared" si="0"/>
        <v>122</v>
      </c>
      <c r="F28" s="68"/>
      <c r="G28" s="68"/>
      <c r="H28" s="68"/>
      <c r="I28" s="68"/>
    </row>
    <row r="29" spans="1:9" ht="195">
      <c r="A29" s="29">
        <v>3</v>
      </c>
      <c r="B29" s="29" t="s">
        <v>933</v>
      </c>
      <c r="C29" s="71">
        <v>42241</v>
      </c>
      <c r="D29" s="71">
        <v>42337</v>
      </c>
      <c r="E29" s="29">
        <f>D29-C29 + 1</f>
        <v>97</v>
      </c>
      <c r="F29" s="29"/>
      <c r="G29" s="29" t="s">
        <v>277</v>
      </c>
      <c r="H29" s="29">
        <v>17003</v>
      </c>
      <c r="I29" s="29">
        <v>125</v>
      </c>
    </row>
    <row r="30" spans="1:9" ht="75">
      <c r="A30" s="29">
        <v>3</v>
      </c>
      <c r="B30" s="29" t="s">
        <v>860</v>
      </c>
      <c r="C30" s="71">
        <v>42497</v>
      </c>
      <c r="D30" s="71">
        <v>42600</v>
      </c>
      <c r="E30" s="29">
        <f>D30-C30 + 1</f>
        <v>104</v>
      </c>
      <c r="F30" s="68"/>
      <c r="G30" s="68"/>
      <c r="H30" s="68"/>
      <c r="I30" s="68"/>
    </row>
    <row r="31" spans="1:9" ht="90">
      <c r="A31" s="29">
        <v>3</v>
      </c>
      <c r="B31" s="29" t="s">
        <v>863</v>
      </c>
      <c r="C31" s="71">
        <v>42753</v>
      </c>
      <c r="D31" s="71">
        <v>42799</v>
      </c>
      <c r="E31" s="29">
        <f>D31-C31 + 1</f>
        <v>47</v>
      </c>
      <c r="F31" s="68"/>
      <c r="G31" s="68"/>
      <c r="H31" s="67"/>
      <c r="I31" s="68"/>
    </row>
    <row r="32" spans="1:9">
      <c r="A32" s="68"/>
      <c r="B32" s="70"/>
      <c r="C32" s="29"/>
      <c r="D32" s="29"/>
      <c r="E32" s="29">
        <f>SUM(E1:E31)</f>
        <v>2131</v>
      </c>
      <c r="F32" s="29"/>
      <c r="G32" s="71"/>
      <c r="H32" s="71"/>
      <c r="I32" s="71"/>
    </row>
  </sheetData>
  <conditionalFormatting sqref="I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{E9F53BD0-9094-4957-82BB-A10E2A3279F3}</x14:id>
        </ext>
      </extLst>
    </cfRule>
  </conditionalFormatting>
  <conditionalFormatting sqref="E6:F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{294B1979-9E2D-4A80-8D9C-B789F1242216}</x14:id>
        </ext>
      </extLst>
    </cfRule>
  </conditionalFormatting>
  <conditionalFormatting sqref="E6:F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{3DF61905-12A0-47E0-8C47-EFF13049C9FB}</x14:id>
        </ext>
      </extLst>
    </cfRule>
  </conditionalFormatting>
  <conditionalFormatting sqref="I2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{ECBC380B-4626-4D6F-9E5E-DFDC465AB57D}</x14:id>
        </ext>
      </extLst>
    </cfRule>
  </conditionalFormatting>
  <conditionalFormatting sqref="E2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{B4C62F80-8A22-45FB-B015-88C99CB4AC66}</x14:id>
        </ext>
      </extLst>
    </cfRule>
  </conditionalFormatting>
  <conditionalFormatting sqref="E2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{87DE3A9D-16C6-457A-B231-09292F2A1825}</x14:id>
        </ext>
      </extLst>
    </cfRule>
  </conditionalFormatting>
  <conditionalFormatting sqref="F2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{97827141-992D-493A-AC8C-277FB0187D3C}</x14:id>
        </ext>
      </extLst>
    </cfRule>
  </conditionalFormatting>
  <conditionalFormatting sqref="F20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{14D93CD4-2946-4065-9E9B-A3534DDC2E4E}</x14:id>
        </ext>
      </extLst>
    </cfRule>
  </conditionalFormatting>
  <conditionalFormatting sqref="I2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{4420D96D-F1BF-491D-9564-B7328BA4B479}</x14:id>
        </ext>
      </extLst>
    </cfRule>
  </conditionalFormatting>
  <conditionalFormatting sqref="E24:F2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{3953CE30-CC7D-4EE0-86A3-4D777EB2E4B9}</x14:id>
        </ext>
      </extLst>
    </cfRule>
  </conditionalFormatting>
  <conditionalFormatting sqref="E24:F2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{3E9B6F63-BCB6-4FD9-A1FD-8AA046234ED5}</x14:id>
        </ext>
      </extLst>
    </cfRule>
  </conditionalFormatting>
  <conditionalFormatting sqref="I2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{2A487647-7C4C-4BB1-A0C7-305218EAA5BC}</x14:id>
        </ext>
      </extLst>
    </cfRule>
  </conditionalFormatting>
  <conditionalFormatting sqref="E23:F2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{766C1E22-63A7-48F4-A895-7C009F91B743}</x14:id>
        </ext>
      </extLst>
    </cfRule>
  </conditionalFormatting>
  <conditionalFormatting sqref="E23:F2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{3EA34266-166C-4694-855E-B8F1CEDF64DD}</x14:id>
        </ext>
      </extLst>
    </cfRule>
  </conditionalFormatting>
  <conditionalFormatting sqref="I1:I5 I7:I19 I21:I22 I25:I27 I2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{D5B813CB-4A87-475C-868A-2FCA7F003BEE}</x14:id>
        </ext>
      </extLst>
    </cfRule>
  </conditionalFormatting>
  <conditionalFormatting sqref="E1:F5 E7:F19 E21:F22 E25:F27 E29:F29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{8833C52C-C3C6-4268-A59B-B54204438B40}</x14:id>
        </ext>
      </extLst>
    </cfRule>
  </conditionalFormatting>
  <conditionalFormatting sqref="E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{BCD12725-3AE0-41EA-A27D-8F57FB03FB1C}</x14:id>
        </ext>
      </extLst>
    </cfRule>
  </conditionalFormatting>
  <conditionalFormatting sqref="E2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{A6B3A7D6-F495-40A5-833D-2E57B3AFF022}</x14:id>
        </ext>
      </extLst>
    </cfRule>
  </conditionalFormatting>
  <conditionalFormatting sqref="E3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{70A2C61D-E9D7-4C49-81A4-CE47DE1B6EB7}</x14:id>
        </ext>
      </extLst>
    </cfRule>
  </conditionalFormatting>
  <conditionalFormatting sqref="E3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{143977C9-FA95-48B4-A1D4-CC98D2473B60}</x14:id>
        </ext>
      </extLst>
    </cfRule>
  </conditionalFormatting>
  <conditionalFormatting sqref="E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{A881ED22-0083-4984-9B17-8B41DFC9093A}</x14:id>
        </ext>
      </extLst>
    </cfRule>
  </conditionalFormatting>
  <conditionalFormatting sqref="E32:F32 E1:F5 I8 E7:F19 E21:F22 E25:F27 E29:F29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{691B4131-E181-4197-B7B4-40199D8FD223}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ExportSpaceJson">
                <anchor moveWithCells="1" sizeWithCells="1">
                  <from>
                    <xdr:col>1</xdr:col>
                    <xdr:colOff>3724275</xdr:colOff>
                    <xdr:row>0</xdr:row>
                    <xdr:rowOff>38100</xdr:rowOff>
                  </from>
                  <to>
                    <xdr:col>1</xdr:col>
                    <xdr:colOff>4781550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F53BD0-9094-4957-82BB-A10E2A3279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294B1979-9E2D-4A80-8D9C-B789F12422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E6:F6</xm:sqref>
        </x14:conditionalFormatting>
        <x14:conditionalFormatting xmlns:xm="http://schemas.microsoft.com/office/excel/2006/main">
          <x14:cfRule type="dataBar" id="{3DF61905-12A0-47E0-8C47-EFF13049C9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E6:F6</xm:sqref>
        </x14:conditionalFormatting>
        <x14:conditionalFormatting xmlns:xm="http://schemas.microsoft.com/office/excel/2006/main">
          <x14:cfRule type="dataBar" id="{ECBC380B-4626-4D6F-9E5E-DFDC465AB5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B4C62F80-8A22-45FB-B015-88C99CB4AC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87DE3A9D-16C6-457A-B231-09292F2A18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97827141-992D-493A-AC8C-277FB0187D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14D93CD4-2946-4065-9E9B-A3534DDC2E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4420D96D-F1BF-491D-9564-B7328BA4B4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3953CE30-CC7D-4EE0-86A3-4D777EB2E4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E24:F24</xm:sqref>
        </x14:conditionalFormatting>
        <x14:conditionalFormatting xmlns:xm="http://schemas.microsoft.com/office/excel/2006/main">
          <x14:cfRule type="dataBar" id="{3E9B6F63-BCB6-4FD9-A1FD-8AA046234E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E24:F24</xm:sqref>
        </x14:conditionalFormatting>
        <x14:conditionalFormatting xmlns:xm="http://schemas.microsoft.com/office/excel/2006/main">
          <x14:cfRule type="dataBar" id="{2A487647-7C4C-4BB1-A0C7-305218EAA5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66C1E22-63A7-48F4-A895-7C009F91B7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E23:F23</xm:sqref>
        </x14:conditionalFormatting>
        <x14:conditionalFormatting xmlns:xm="http://schemas.microsoft.com/office/excel/2006/main">
          <x14:cfRule type="dataBar" id="{3EA34266-166C-4694-855E-B8F1CEDF64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E23:F23</xm:sqref>
        </x14:conditionalFormatting>
        <x14:conditionalFormatting xmlns:xm="http://schemas.microsoft.com/office/excel/2006/main">
          <x14:cfRule type="dataBar" id="{D5B813CB-4A87-475C-868A-2FCA7F003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I1:I5 I7:I19 I21:I22 I25:I27 I29</xm:sqref>
        </x14:conditionalFormatting>
        <x14:conditionalFormatting xmlns:xm="http://schemas.microsoft.com/office/excel/2006/main">
          <x14:cfRule type="dataBar" id="{8833C52C-C3C6-4268-A59B-B54204438B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E1:F5 E7:F19 E21:F22 E25:F27 E29:F29</xm:sqref>
        </x14:conditionalFormatting>
        <x14:conditionalFormatting xmlns:xm="http://schemas.microsoft.com/office/excel/2006/main">
          <x14:cfRule type="dataBar" id="{BCD12725-3AE0-41EA-A27D-8F57FB03FB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E28</xm:sqref>
        </x14:conditionalFormatting>
        <x14:conditionalFormatting xmlns:xm="http://schemas.microsoft.com/office/excel/2006/main">
          <x14:cfRule type="dataBar" id="{A6B3A7D6-F495-40A5-833D-2E57B3AFF0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E28</xm:sqref>
        </x14:conditionalFormatting>
        <x14:conditionalFormatting xmlns:xm="http://schemas.microsoft.com/office/excel/2006/main">
          <x14:cfRule type="dataBar" id="{70A2C61D-E9D7-4C49-81A4-CE47DE1B6E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143977C9-FA95-48B4-A1D4-CC98D2473B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A881ED22-0083-4984-9B17-8B41DFC909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691B4131-E181-4197-B7B4-40199D8FD2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E32:F32 E1:F5 I8 E7:F19 E21:F22 E25:F27 E29:F29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ACB125</vt:lpstr>
      <vt:lpstr>space(System Manual07 2011)</vt:lpstr>
      <vt:lpstr>decode</vt:lpstr>
      <vt:lpstr>space(03 2020)</vt:lpstr>
      <vt:lpstr>space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Gao, Fei (RC-CN EM ST)</dc:creator>
  <cp:lastModifiedBy>Gao, Fei (RC-CN SI MAC)</cp:lastModifiedBy>
  <dcterms:created xsi:type="dcterms:W3CDTF">2020-05-27T06:56:21Z</dcterms:created>
  <dcterms:modified xsi:type="dcterms:W3CDTF">2021-11-03T09:35:19Z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f75f480-7803-4ee9-bb54-84d0635fdbe7_Enabled">
    <vt:lpwstr>true</vt:lpwstr>
  </property>
  <property fmtid="{D5CDD505-2E9C-101B-9397-08002B2CF9AE}" pid="3" name="MSIP_Label_6f75f480-7803-4ee9-bb54-84d0635fdbe7_SetDate">
    <vt:lpwstr>2021-11-03T09:35:19Z</vt:lpwstr>
  </property>
  <property fmtid="{D5CDD505-2E9C-101B-9397-08002B2CF9AE}" pid="4" name="MSIP_Label_6f75f480-7803-4ee9-bb54-84d0635fdbe7_Method">
    <vt:lpwstr>Privileged</vt:lpwstr>
  </property>
  <property fmtid="{D5CDD505-2E9C-101B-9397-08002B2CF9AE}" pid="5" name="MSIP_Label_6f75f480-7803-4ee9-bb54-84d0635fdbe7_Name">
    <vt:lpwstr>unrestricted</vt:lpwstr>
  </property>
  <property fmtid="{D5CDD505-2E9C-101B-9397-08002B2CF9AE}" pid="6" name="MSIP_Label_6f75f480-7803-4ee9-bb54-84d0635fdbe7_SiteId">
    <vt:lpwstr>38ae3bcd-9579-4fd4-adda-b42e1495d55a</vt:lpwstr>
  </property>
  <property fmtid="{D5CDD505-2E9C-101B-9397-08002B2CF9AE}" pid="7" name="MSIP_Label_6f75f480-7803-4ee9-bb54-84d0635fdbe7_ActionId">
    <vt:lpwstr>7b8b6536-0bbd-4cdb-88dd-2da185e37051</vt:lpwstr>
  </property>
  <property fmtid="{D5CDD505-2E9C-101B-9397-08002B2CF9AE}" pid="8" name="MSIP_Label_6f75f480-7803-4ee9-bb54-84d0635fdbe7_ContentBits">
    <vt:lpwstr>0</vt:lpwstr>
  </property>
  <property fmtid="{D5CDD505-2E9C-101B-9397-08002B2CF9AE}" pid="9" name="Document_Confidentiality">
    <vt:lpwstr>Unrestricted</vt:lpwstr>
  </property>
</Properties>
</file>