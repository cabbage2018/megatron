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megatron\public\vba\7KM5200\"/>
    </mc:Choice>
  </mc:AlternateContent>
  <xr:revisionPtr revIDLastSave="0" documentId="13_ncr:1_{1B35887F-1A49-4E0B-A46E-F9A3C713F746}" xr6:coauthVersionLast="47" xr6:coauthVersionMax="47" xr10:uidLastSave="{00000000-0000-0000-0000-000000000000}"/>
  <bookViews>
    <workbookView xWindow="7170" yWindow="4530" windowWidth="17700" windowHeight="12285" firstSheet="1" activeTab="2" xr2:uid="{87E28EF7-0EC5-4574-B7D2-92C3F63D3EFB}"/>
  </bookViews>
  <sheets>
    <sheet name="ACB125" sheetId="1" state="hidden" r:id="rId1"/>
    <sheet name="space" sheetId="2" r:id="rId2"/>
    <sheet name="decode" sheetId="3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3" i="3" l="1"/>
  <c r="H34" i="3"/>
  <c r="H21" i="3"/>
  <c r="H1348" i="3"/>
  <c r="H1347" i="3"/>
  <c r="H1344" i="3"/>
  <c r="H1343" i="3"/>
  <c r="H1342" i="3"/>
  <c r="H1341" i="3"/>
  <c r="H1340" i="3"/>
  <c r="H1339" i="3"/>
  <c r="H1338" i="3"/>
  <c r="H1337" i="3"/>
  <c r="H1336" i="3"/>
  <c r="H1335" i="3"/>
  <c r="H1334" i="3"/>
  <c r="H1333" i="3"/>
  <c r="H1332" i="3"/>
  <c r="H1331" i="3"/>
  <c r="H1330" i="3"/>
  <c r="H1329" i="3"/>
  <c r="H1328" i="3"/>
  <c r="H1327" i="3"/>
  <c r="H1326" i="3"/>
  <c r="H1325" i="3"/>
  <c r="H1324" i="3"/>
  <c r="H1323" i="3"/>
  <c r="H1322" i="3"/>
  <c r="H1321" i="3"/>
  <c r="H1320" i="3"/>
  <c r="H1319" i="3"/>
  <c r="H1318" i="3"/>
  <c r="H1317" i="3"/>
  <c r="H1316" i="3"/>
  <c r="H1315" i="3"/>
  <c r="H1314" i="3"/>
  <c r="H1313" i="3"/>
  <c r="H1312" i="3"/>
  <c r="H1311" i="3"/>
  <c r="H1310" i="3"/>
  <c r="H1309" i="3"/>
  <c r="H1308" i="3"/>
  <c r="H1307" i="3"/>
  <c r="H1306" i="3"/>
  <c r="H1305" i="3"/>
  <c r="H1304" i="3"/>
  <c r="H1303" i="3"/>
  <c r="H1302" i="3"/>
  <c r="H1301" i="3"/>
  <c r="H1300" i="3"/>
  <c r="H1299" i="3"/>
  <c r="H1298" i="3"/>
  <c r="H1297" i="3"/>
  <c r="H1296" i="3"/>
  <c r="H1295" i="3"/>
  <c r="H1294" i="3"/>
  <c r="H1293" i="3"/>
  <c r="H1292" i="3"/>
  <c r="H1291" i="3"/>
  <c r="H1290" i="3"/>
  <c r="H1287" i="3"/>
  <c r="H1286" i="3"/>
  <c r="H1285" i="3"/>
  <c r="H1284" i="3"/>
  <c r="H1283" i="3"/>
  <c r="H1282" i="3"/>
  <c r="H1281" i="3"/>
  <c r="H1280" i="3"/>
  <c r="H1279" i="3"/>
  <c r="H1278" i="3"/>
  <c r="H1277" i="3"/>
  <c r="H1276" i="3"/>
  <c r="H1275" i="3"/>
  <c r="H1272" i="3"/>
  <c r="H1271" i="3"/>
  <c r="H1270" i="3"/>
  <c r="H1269" i="3"/>
  <c r="H1268" i="3"/>
  <c r="H1267" i="3"/>
  <c r="H1266" i="3"/>
  <c r="H1265" i="3"/>
  <c r="H1264" i="3"/>
  <c r="H1263" i="3"/>
  <c r="H1262" i="3"/>
  <c r="H1261" i="3"/>
  <c r="H1260" i="3"/>
  <c r="H1259" i="3"/>
  <c r="H1258" i="3"/>
  <c r="H1257" i="3"/>
  <c r="H1256" i="3"/>
  <c r="H1255" i="3"/>
  <c r="H1254" i="3"/>
  <c r="H1253" i="3"/>
  <c r="H1252" i="3"/>
  <c r="H1251" i="3"/>
  <c r="H1250" i="3"/>
  <c r="H1249" i="3"/>
  <c r="H1248" i="3"/>
  <c r="H1247" i="3"/>
  <c r="H1246" i="3"/>
  <c r="H1245" i="3"/>
  <c r="H1244" i="3"/>
  <c r="H1243" i="3"/>
  <c r="H1242" i="3"/>
  <c r="H1241" i="3"/>
  <c r="H1240" i="3"/>
  <c r="H1239" i="3"/>
  <c r="H1238" i="3"/>
  <c r="H1237" i="3"/>
  <c r="H1236" i="3"/>
  <c r="H1235" i="3"/>
  <c r="H1234" i="3"/>
  <c r="H1233" i="3"/>
  <c r="H1232" i="3"/>
  <c r="H1231" i="3"/>
  <c r="H1230" i="3"/>
  <c r="H1229" i="3"/>
  <c r="H1228" i="3"/>
  <c r="H1227" i="3"/>
  <c r="H1226" i="3"/>
  <c r="H1225" i="3"/>
  <c r="H1224" i="3"/>
  <c r="H1223" i="3"/>
  <c r="H1222" i="3"/>
  <c r="H1221" i="3"/>
  <c r="H1220" i="3"/>
  <c r="H1219" i="3"/>
  <c r="H1218" i="3"/>
  <c r="H1217" i="3"/>
  <c r="H1216" i="3"/>
  <c r="H1215" i="3"/>
  <c r="H1214" i="3"/>
  <c r="H1213" i="3"/>
  <c r="H1212" i="3"/>
  <c r="H1211" i="3"/>
  <c r="H1210" i="3"/>
  <c r="H1209" i="3"/>
  <c r="H1208" i="3"/>
  <c r="H1207" i="3"/>
  <c r="H1206" i="3"/>
  <c r="H1205" i="3"/>
  <c r="H1204" i="3"/>
  <c r="H1203" i="3"/>
  <c r="H1200" i="3"/>
  <c r="H1199" i="3"/>
  <c r="H1198" i="3"/>
  <c r="H1197" i="3"/>
  <c r="H1196" i="3"/>
  <c r="H1195" i="3"/>
  <c r="H1194" i="3"/>
  <c r="H1193" i="3"/>
  <c r="H1192" i="3"/>
  <c r="H1191" i="3"/>
  <c r="H1190" i="3"/>
  <c r="H1189" i="3"/>
  <c r="H1188" i="3"/>
  <c r="H1187" i="3"/>
  <c r="H1186" i="3"/>
  <c r="H1185" i="3"/>
  <c r="H1184" i="3"/>
  <c r="H1183" i="3"/>
  <c r="H1182" i="3"/>
  <c r="H1181" i="3"/>
  <c r="H1180" i="3"/>
  <c r="H1166" i="3"/>
  <c r="H1159" i="3"/>
  <c r="H1146" i="3"/>
  <c r="H1144" i="3"/>
  <c r="H1143" i="3"/>
  <c r="H1142" i="3"/>
  <c r="H1141" i="3"/>
  <c r="H1140" i="3"/>
  <c r="H1139" i="3"/>
  <c r="H1138" i="3"/>
  <c r="H1137" i="3"/>
  <c r="H1136" i="3"/>
  <c r="H1135" i="3"/>
  <c r="H1134" i="3"/>
  <c r="H1133" i="3"/>
  <c r="H1132" i="3"/>
  <c r="H1131" i="3"/>
  <c r="H1049" i="3"/>
  <c r="H1009" i="3"/>
  <c r="H967" i="3"/>
  <c r="H927" i="3"/>
  <c r="H887" i="3"/>
  <c r="H845" i="3"/>
  <c r="H805" i="3"/>
  <c r="H765" i="3"/>
  <c r="H723" i="3"/>
  <c r="H683" i="3"/>
  <c r="H643" i="3"/>
  <c r="H601" i="3"/>
  <c r="H561" i="3"/>
  <c r="H521" i="3"/>
  <c r="H479" i="3"/>
  <c r="H439" i="3"/>
  <c r="H399" i="3"/>
  <c r="H377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49" i="3"/>
  <c r="H292" i="3"/>
  <c r="H289" i="3"/>
  <c r="H178" i="3"/>
  <c r="H172" i="3"/>
  <c r="H169" i="3"/>
  <c r="H168" i="3"/>
  <c r="H167" i="3"/>
  <c r="H166" i="3"/>
  <c r="H146" i="3"/>
  <c r="H129" i="3"/>
  <c r="H89" i="3"/>
  <c r="H88" i="3"/>
  <c r="H85" i="3"/>
  <c r="H84" i="3"/>
  <c r="H83" i="3"/>
  <c r="H82" i="3"/>
  <c r="H81" i="3"/>
  <c r="H80" i="3"/>
  <c r="H79" i="3"/>
  <c r="H74" i="3"/>
  <c r="H73" i="3"/>
  <c r="H68" i="3"/>
  <c r="H67" i="3"/>
  <c r="H66" i="3"/>
  <c r="H19" i="3"/>
  <c r="H18" i="3"/>
  <c r="H17" i="3"/>
  <c r="H13" i="3"/>
  <c r="H12" i="3"/>
  <c r="H11" i="3"/>
  <c r="H3" i="3"/>
  <c r="G90" i="3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K90" i="3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114" i="3" s="1"/>
  <c r="K115" i="3" s="1"/>
  <c r="K116" i="3" s="1"/>
  <c r="K117" i="3" s="1"/>
  <c r="K118" i="3" s="1"/>
  <c r="K119" i="3" s="1"/>
  <c r="K120" i="3" s="1"/>
  <c r="K121" i="3" s="1"/>
  <c r="K122" i="3" s="1"/>
  <c r="K123" i="3" s="1"/>
  <c r="K124" i="3" s="1"/>
  <c r="K125" i="3" s="1"/>
  <c r="K126" i="3" s="1"/>
  <c r="K127" i="3" s="1"/>
  <c r="K128" i="3" s="1"/>
  <c r="G130" i="3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K130" i="3"/>
  <c r="K131" i="3" s="1"/>
  <c r="K132" i="3" s="1"/>
  <c r="K133" i="3" s="1"/>
  <c r="K134" i="3" s="1"/>
  <c r="K135" i="3" s="1"/>
  <c r="K136" i="3" s="1"/>
  <c r="K137" i="3" s="1"/>
  <c r="K138" i="3" s="1"/>
  <c r="K139" i="3" s="1"/>
  <c r="K140" i="3" s="1"/>
  <c r="K141" i="3" s="1"/>
  <c r="K142" i="3" s="1"/>
  <c r="K143" i="3" s="1"/>
  <c r="G147" i="3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K147" i="3"/>
  <c r="G173" i="3"/>
  <c r="G174" i="3" s="1"/>
  <c r="G175" i="3" s="1"/>
  <c r="K173" i="3"/>
  <c r="K174" i="3" s="1"/>
  <c r="K175" i="3" s="1"/>
  <c r="G179" i="3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K179" i="3"/>
  <c r="K180" i="3" s="1"/>
  <c r="K181" i="3" s="1"/>
  <c r="K182" i="3" s="1"/>
  <c r="K183" i="3" s="1"/>
  <c r="K184" i="3" s="1"/>
  <c r="K185" i="3" s="1"/>
  <c r="K186" i="3" s="1"/>
  <c r="K187" i="3" s="1"/>
  <c r="K188" i="3" s="1"/>
  <c r="K189" i="3" s="1"/>
  <c r="K190" i="3" s="1"/>
  <c r="K191" i="3" s="1"/>
  <c r="K192" i="3" s="1"/>
  <c r="K193" i="3" s="1"/>
  <c r="K194" i="3" s="1"/>
  <c r="K195" i="3" s="1"/>
  <c r="K196" i="3" s="1"/>
  <c r="K197" i="3" s="1"/>
  <c r="K198" i="3" s="1"/>
  <c r="K199" i="3" s="1"/>
  <c r="K200" i="3" s="1"/>
  <c r="K201" i="3" s="1"/>
  <c r="K202" i="3" s="1"/>
  <c r="K203" i="3" s="1"/>
  <c r="K204" i="3" s="1"/>
  <c r="K205" i="3" s="1"/>
  <c r="K206" i="3" s="1"/>
  <c r="K207" i="3" s="1"/>
  <c r="K208" i="3" s="1"/>
  <c r="K209" i="3" s="1"/>
  <c r="K210" i="3" s="1"/>
  <c r="K211" i="3" s="1"/>
  <c r="K212" i="3" s="1"/>
  <c r="K213" i="3" s="1"/>
  <c r="K214" i="3" s="1"/>
  <c r="K215" i="3" s="1"/>
  <c r="K216" i="3" s="1"/>
  <c r="K217" i="3" s="1"/>
  <c r="K218" i="3" s="1"/>
  <c r="K219" i="3" s="1"/>
  <c r="K220" i="3" s="1"/>
  <c r="K221" i="3" s="1"/>
  <c r="K222" i="3" s="1"/>
  <c r="K223" i="3" s="1"/>
  <c r="K224" i="3" s="1"/>
  <c r="K225" i="3" s="1"/>
  <c r="K226" i="3" s="1"/>
  <c r="K227" i="3" s="1"/>
  <c r="K228" i="3" s="1"/>
  <c r="K229" i="3" s="1"/>
  <c r="K230" i="3" s="1"/>
  <c r="K231" i="3" s="1"/>
  <c r="K232" i="3" s="1"/>
  <c r="H232" i="3" s="1"/>
  <c r="K235" i="3"/>
  <c r="H235" i="3" s="1"/>
  <c r="G236" i="3"/>
  <c r="K236" i="3" s="1"/>
  <c r="H236" i="3" s="1"/>
  <c r="G293" i="3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K293" i="3"/>
  <c r="K294" i="3" s="1"/>
  <c r="K295" i="3" s="1"/>
  <c r="K296" i="3" s="1"/>
  <c r="K297" i="3" s="1"/>
  <c r="K298" i="3" s="1"/>
  <c r="K299" i="3" s="1"/>
  <c r="K300" i="3" s="1"/>
  <c r="K301" i="3" s="1"/>
  <c r="K302" i="3" s="1"/>
  <c r="K303" i="3" s="1"/>
  <c r="K304" i="3" s="1"/>
  <c r="K305" i="3" s="1"/>
  <c r="K306" i="3" s="1"/>
  <c r="K307" i="3" s="1"/>
  <c r="K308" i="3" s="1"/>
  <c r="K309" i="3" s="1"/>
  <c r="K310" i="3" s="1"/>
  <c r="K311" i="3" s="1"/>
  <c r="K312" i="3" s="1"/>
  <c r="K313" i="3" s="1"/>
  <c r="K314" i="3" s="1"/>
  <c r="K315" i="3" s="1"/>
  <c r="K316" i="3" s="1"/>
  <c r="K317" i="3" s="1"/>
  <c r="K318" i="3" s="1"/>
  <c r="K319" i="3" s="1"/>
  <c r="K320" i="3" s="1"/>
  <c r="K321" i="3" s="1"/>
  <c r="K322" i="3" s="1"/>
  <c r="K323" i="3" s="1"/>
  <c r="K324" i="3" s="1"/>
  <c r="K325" i="3" s="1"/>
  <c r="K326" i="3" s="1"/>
  <c r="K327" i="3" s="1"/>
  <c r="K328" i="3" s="1"/>
  <c r="K329" i="3" s="1"/>
  <c r="K330" i="3" s="1"/>
  <c r="K331" i="3" s="1"/>
  <c r="K332" i="3" s="1"/>
  <c r="K333" i="3" s="1"/>
  <c r="K334" i="3" s="1"/>
  <c r="K335" i="3" s="1"/>
  <c r="K336" i="3" s="1"/>
  <c r="K337" i="3" s="1"/>
  <c r="K338" i="3" s="1"/>
  <c r="K339" i="3" s="1"/>
  <c r="K340" i="3" s="1"/>
  <c r="K341" i="3" s="1"/>
  <c r="K342" i="3" s="1"/>
  <c r="K343" i="3" s="1"/>
  <c r="K344" i="3" s="1"/>
  <c r="K345" i="3" s="1"/>
  <c r="K346" i="3" s="1"/>
  <c r="G378" i="3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K378" i="3"/>
  <c r="K379" i="3" s="1"/>
  <c r="K380" i="3" s="1"/>
  <c r="K381" i="3" s="1"/>
  <c r="K382" i="3" s="1"/>
  <c r="K383" i="3" s="1"/>
  <c r="K384" i="3" s="1"/>
  <c r="K385" i="3" s="1"/>
  <c r="K386" i="3" s="1"/>
  <c r="K387" i="3" s="1"/>
  <c r="K388" i="3" s="1"/>
  <c r="K389" i="3" s="1"/>
  <c r="K390" i="3" s="1"/>
  <c r="K391" i="3" s="1"/>
  <c r="K392" i="3" s="1"/>
  <c r="K393" i="3" s="1"/>
  <c r="K394" i="3" s="1"/>
  <c r="K395" i="3" s="1"/>
  <c r="K396" i="3" s="1"/>
  <c r="G400" i="3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K400" i="3"/>
  <c r="G440" i="3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K440" i="3"/>
  <c r="K441" i="3" s="1"/>
  <c r="K442" i="3" s="1"/>
  <c r="K443" i="3" s="1"/>
  <c r="K444" i="3" s="1"/>
  <c r="K445" i="3" s="1"/>
  <c r="K446" i="3" s="1"/>
  <c r="K447" i="3" s="1"/>
  <c r="K448" i="3" s="1"/>
  <c r="K449" i="3" s="1"/>
  <c r="K450" i="3" s="1"/>
  <c r="K451" i="3" s="1"/>
  <c r="K452" i="3" s="1"/>
  <c r="K453" i="3" s="1"/>
  <c r="K454" i="3" s="1"/>
  <c r="K455" i="3" s="1"/>
  <c r="K456" i="3" s="1"/>
  <c r="K457" i="3" s="1"/>
  <c r="K458" i="3" s="1"/>
  <c r="K459" i="3" s="1"/>
  <c r="K460" i="3" s="1"/>
  <c r="K461" i="3" s="1"/>
  <c r="K462" i="3" s="1"/>
  <c r="K463" i="3" s="1"/>
  <c r="K464" i="3" s="1"/>
  <c r="K465" i="3" s="1"/>
  <c r="K466" i="3" s="1"/>
  <c r="K467" i="3" s="1"/>
  <c r="K468" i="3" s="1"/>
  <c r="K469" i="3" s="1"/>
  <c r="K470" i="3" s="1"/>
  <c r="K471" i="3" s="1"/>
  <c r="K472" i="3" s="1"/>
  <c r="K473" i="3" s="1"/>
  <c r="K474" i="3" s="1"/>
  <c r="K475" i="3" s="1"/>
  <c r="K476" i="3" s="1"/>
  <c r="K477" i="3" s="1"/>
  <c r="K478" i="3" s="1"/>
  <c r="G480" i="3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K480" i="3"/>
  <c r="K481" i="3" s="1"/>
  <c r="K482" i="3" s="1"/>
  <c r="K483" i="3" s="1"/>
  <c r="K484" i="3" s="1"/>
  <c r="K485" i="3" s="1"/>
  <c r="K486" i="3" s="1"/>
  <c r="K487" i="3" s="1"/>
  <c r="K488" i="3" s="1"/>
  <c r="K489" i="3" s="1"/>
  <c r="K490" i="3" s="1"/>
  <c r="K491" i="3" s="1"/>
  <c r="K492" i="3" s="1"/>
  <c r="K493" i="3" s="1"/>
  <c r="K494" i="3" s="1"/>
  <c r="K495" i="3" s="1"/>
  <c r="K496" i="3" s="1"/>
  <c r="K497" i="3" s="1"/>
  <c r="K498" i="3" s="1"/>
  <c r="K499" i="3" s="1"/>
  <c r="K500" i="3" s="1"/>
  <c r="K501" i="3" s="1"/>
  <c r="K502" i="3" s="1"/>
  <c r="K503" i="3" s="1"/>
  <c r="K504" i="3" s="1"/>
  <c r="K505" i="3" s="1"/>
  <c r="K506" i="3" s="1"/>
  <c r="K507" i="3" s="1"/>
  <c r="K508" i="3" s="1"/>
  <c r="K509" i="3" s="1"/>
  <c r="K510" i="3" s="1"/>
  <c r="K511" i="3" s="1"/>
  <c r="K512" i="3" s="1"/>
  <c r="K513" i="3" s="1"/>
  <c r="K514" i="3" s="1"/>
  <c r="K515" i="3" s="1"/>
  <c r="K516" i="3" s="1"/>
  <c r="K517" i="3" s="1"/>
  <c r="K518" i="3" s="1"/>
  <c r="G522" i="3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K522" i="3"/>
  <c r="K523" i="3" s="1"/>
  <c r="K524" i="3" s="1"/>
  <c r="K525" i="3" s="1"/>
  <c r="K526" i="3" s="1"/>
  <c r="K527" i="3" s="1"/>
  <c r="K528" i="3" s="1"/>
  <c r="K529" i="3" s="1"/>
  <c r="K530" i="3" s="1"/>
  <c r="K531" i="3" s="1"/>
  <c r="K532" i="3" s="1"/>
  <c r="K533" i="3" s="1"/>
  <c r="K534" i="3" s="1"/>
  <c r="K535" i="3" s="1"/>
  <c r="K536" i="3" s="1"/>
  <c r="K537" i="3" s="1"/>
  <c r="K538" i="3" s="1"/>
  <c r="K539" i="3" s="1"/>
  <c r="K540" i="3" s="1"/>
  <c r="K541" i="3" s="1"/>
  <c r="K542" i="3" s="1"/>
  <c r="K543" i="3" s="1"/>
  <c r="K544" i="3" s="1"/>
  <c r="K545" i="3" s="1"/>
  <c r="K546" i="3" s="1"/>
  <c r="K547" i="3" s="1"/>
  <c r="K548" i="3" s="1"/>
  <c r="K549" i="3" s="1"/>
  <c r="K550" i="3" s="1"/>
  <c r="K551" i="3" s="1"/>
  <c r="K552" i="3" s="1"/>
  <c r="K553" i="3" s="1"/>
  <c r="K554" i="3" s="1"/>
  <c r="K555" i="3" s="1"/>
  <c r="K556" i="3" s="1"/>
  <c r="K557" i="3" s="1"/>
  <c r="K558" i="3" s="1"/>
  <c r="K559" i="3" s="1"/>
  <c r="K560" i="3" s="1"/>
  <c r="G562" i="3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K562" i="3"/>
  <c r="K563" i="3" s="1"/>
  <c r="K564" i="3" s="1"/>
  <c r="K565" i="3" s="1"/>
  <c r="K566" i="3" s="1"/>
  <c r="K567" i="3" s="1"/>
  <c r="K568" i="3" s="1"/>
  <c r="K569" i="3" s="1"/>
  <c r="K570" i="3" s="1"/>
  <c r="K571" i="3" s="1"/>
  <c r="K572" i="3" s="1"/>
  <c r="K573" i="3" s="1"/>
  <c r="K574" i="3" s="1"/>
  <c r="K575" i="3" s="1"/>
  <c r="K576" i="3" s="1"/>
  <c r="K577" i="3" s="1"/>
  <c r="K578" i="3" s="1"/>
  <c r="K579" i="3" s="1"/>
  <c r="K580" i="3" s="1"/>
  <c r="K581" i="3" s="1"/>
  <c r="K582" i="3" s="1"/>
  <c r="K583" i="3" s="1"/>
  <c r="K584" i="3" s="1"/>
  <c r="K585" i="3" s="1"/>
  <c r="K586" i="3" s="1"/>
  <c r="K587" i="3" s="1"/>
  <c r="K588" i="3" s="1"/>
  <c r="K589" i="3" s="1"/>
  <c r="K590" i="3" s="1"/>
  <c r="K591" i="3" s="1"/>
  <c r="K592" i="3" s="1"/>
  <c r="K593" i="3" s="1"/>
  <c r="K594" i="3" s="1"/>
  <c r="K595" i="3" s="1"/>
  <c r="K596" i="3" s="1"/>
  <c r="K597" i="3" s="1"/>
  <c r="K598" i="3" s="1"/>
  <c r="K599" i="3" s="1"/>
  <c r="K600" i="3" s="1"/>
  <c r="G602" i="3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K602" i="3"/>
  <c r="K603" i="3" s="1"/>
  <c r="K604" i="3" s="1"/>
  <c r="K605" i="3" s="1"/>
  <c r="K606" i="3" s="1"/>
  <c r="K607" i="3" s="1"/>
  <c r="K608" i="3" s="1"/>
  <c r="K609" i="3" s="1"/>
  <c r="K610" i="3" s="1"/>
  <c r="K611" i="3" s="1"/>
  <c r="K612" i="3" s="1"/>
  <c r="K613" i="3" s="1"/>
  <c r="K614" i="3" s="1"/>
  <c r="K615" i="3" s="1"/>
  <c r="K616" i="3" s="1"/>
  <c r="K617" i="3" s="1"/>
  <c r="K618" i="3" s="1"/>
  <c r="K619" i="3" s="1"/>
  <c r="K620" i="3" s="1"/>
  <c r="K621" i="3" s="1"/>
  <c r="K622" i="3" s="1"/>
  <c r="K623" i="3" s="1"/>
  <c r="K624" i="3" s="1"/>
  <c r="K625" i="3" s="1"/>
  <c r="K626" i="3" s="1"/>
  <c r="K627" i="3" s="1"/>
  <c r="K628" i="3" s="1"/>
  <c r="K629" i="3" s="1"/>
  <c r="K630" i="3" s="1"/>
  <c r="K631" i="3" s="1"/>
  <c r="K632" i="3" s="1"/>
  <c r="K633" i="3" s="1"/>
  <c r="K634" i="3" s="1"/>
  <c r="K635" i="3" s="1"/>
  <c r="K636" i="3" s="1"/>
  <c r="K637" i="3" s="1"/>
  <c r="K638" i="3" s="1"/>
  <c r="K639" i="3" s="1"/>
  <c r="K640" i="3" s="1"/>
  <c r="G644" i="3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K644" i="3"/>
  <c r="G684" i="3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K684" i="3"/>
  <c r="K685" i="3" s="1"/>
  <c r="K686" i="3" s="1"/>
  <c r="K687" i="3" s="1"/>
  <c r="K688" i="3" s="1"/>
  <c r="K689" i="3" s="1"/>
  <c r="K690" i="3" s="1"/>
  <c r="K691" i="3" s="1"/>
  <c r="K692" i="3" s="1"/>
  <c r="K693" i="3" s="1"/>
  <c r="K694" i="3" s="1"/>
  <c r="K695" i="3" s="1"/>
  <c r="K696" i="3" s="1"/>
  <c r="K697" i="3" s="1"/>
  <c r="K698" i="3" s="1"/>
  <c r="K699" i="3" s="1"/>
  <c r="K700" i="3" s="1"/>
  <c r="K701" i="3" s="1"/>
  <c r="K702" i="3" s="1"/>
  <c r="K703" i="3" s="1"/>
  <c r="K704" i="3" s="1"/>
  <c r="K705" i="3" s="1"/>
  <c r="K706" i="3" s="1"/>
  <c r="K707" i="3" s="1"/>
  <c r="K708" i="3" s="1"/>
  <c r="K709" i="3" s="1"/>
  <c r="K710" i="3" s="1"/>
  <c r="K711" i="3" s="1"/>
  <c r="K712" i="3" s="1"/>
  <c r="K713" i="3" s="1"/>
  <c r="K714" i="3" s="1"/>
  <c r="K715" i="3" s="1"/>
  <c r="K716" i="3" s="1"/>
  <c r="K717" i="3" s="1"/>
  <c r="K718" i="3" s="1"/>
  <c r="K719" i="3" s="1"/>
  <c r="K720" i="3" s="1"/>
  <c r="K721" i="3" s="1"/>
  <c r="K722" i="3" s="1"/>
  <c r="G724" i="3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K724" i="3"/>
  <c r="K725" i="3" s="1"/>
  <c r="K726" i="3" s="1"/>
  <c r="K727" i="3" s="1"/>
  <c r="K728" i="3" s="1"/>
  <c r="K729" i="3" s="1"/>
  <c r="K730" i="3" s="1"/>
  <c r="K731" i="3" s="1"/>
  <c r="K732" i="3" s="1"/>
  <c r="K733" i="3" s="1"/>
  <c r="K734" i="3" s="1"/>
  <c r="K735" i="3" s="1"/>
  <c r="K736" i="3" s="1"/>
  <c r="K737" i="3" s="1"/>
  <c r="K738" i="3" s="1"/>
  <c r="K739" i="3" s="1"/>
  <c r="K740" i="3" s="1"/>
  <c r="K741" i="3" s="1"/>
  <c r="K742" i="3" s="1"/>
  <c r="K743" i="3" s="1"/>
  <c r="K744" i="3" s="1"/>
  <c r="K745" i="3" s="1"/>
  <c r="K746" i="3" s="1"/>
  <c r="K747" i="3" s="1"/>
  <c r="K748" i="3" s="1"/>
  <c r="K749" i="3" s="1"/>
  <c r="K750" i="3" s="1"/>
  <c r="K751" i="3" s="1"/>
  <c r="K752" i="3" s="1"/>
  <c r="K753" i="3" s="1"/>
  <c r="K754" i="3" s="1"/>
  <c r="K755" i="3" s="1"/>
  <c r="K756" i="3" s="1"/>
  <c r="K757" i="3" s="1"/>
  <c r="K758" i="3" s="1"/>
  <c r="K759" i="3" s="1"/>
  <c r="K760" i="3" s="1"/>
  <c r="K761" i="3" s="1"/>
  <c r="K762" i="3" s="1"/>
  <c r="G766" i="3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K766" i="3"/>
  <c r="K767" i="3" s="1"/>
  <c r="K768" i="3" s="1"/>
  <c r="K769" i="3" s="1"/>
  <c r="K770" i="3" s="1"/>
  <c r="K771" i="3" s="1"/>
  <c r="K772" i="3" s="1"/>
  <c r="K773" i="3" s="1"/>
  <c r="K774" i="3" s="1"/>
  <c r="K775" i="3" s="1"/>
  <c r="K776" i="3" s="1"/>
  <c r="K777" i="3" s="1"/>
  <c r="K778" i="3" s="1"/>
  <c r="K779" i="3" s="1"/>
  <c r="K780" i="3" s="1"/>
  <c r="K781" i="3" s="1"/>
  <c r="K782" i="3" s="1"/>
  <c r="K783" i="3" s="1"/>
  <c r="K784" i="3" s="1"/>
  <c r="K785" i="3" s="1"/>
  <c r="K786" i="3" s="1"/>
  <c r="K787" i="3" s="1"/>
  <c r="K788" i="3" s="1"/>
  <c r="K789" i="3" s="1"/>
  <c r="K790" i="3" s="1"/>
  <c r="K791" i="3" s="1"/>
  <c r="K792" i="3" s="1"/>
  <c r="K793" i="3" s="1"/>
  <c r="K794" i="3" s="1"/>
  <c r="K795" i="3" s="1"/>
  <c r="K796" i="3" s="1"/>
  <c r="K797" i="3" s="1"/>
  <c r="K798" i="3" s="1"/>
  <c r="K799" i="3" s="1"/>
  <c r="K800" i="3" s="1"/>
  <c r="K801" i="3" s="1"/>
  <c r="K802" i="3" s="1"/>
  <c r="K803" i="3" s="1"/>
  <c r="K804" i="3" s="1"/>
  <c r="G806" i="3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K806" i="3"/>
  <c r="K807" i="3" s="1"/>
  <c r="K808" i="3" s="1"/>
  <c r="K809" i="3" s="1"/>
  <c r="K810" i="3" s="1"/>
  <c r="K811" i="3" s="1"/>
  <c r="K812" i="3" s="1"/>
  <c r="K813" i="3" s="1"/>
  <c r="K814" i="3" s="1"/>
  <c r="K815" i="3" s="1"/>
  <c r="K816" i="3" s="1"/>
  <c r="K817" i="3" s="1"/>
  <c r="K818" i="3" s="1"/>
  <c r="K819" i="3" s="1"/>
  <c r="K820" i="3" s="1"/>
  <c r="K821" i="3" s="1"/>
  <c r="K822" i="3" s="1"/>
  <c r="K823" i="3" s="1"/>
  <c r="K824" i="3" s="1"/>
  <c r="K825" i="3" s="1"/>
  <c r="K826" i="3" s="1"/>
  <c r="K827" i="3" s="1"/>
  <c r="K828" i="3" s="1"/>
  <c r="K829" i="3" s="1"/>
  <c r="K830" i="3" s="1"/>
  <c r="K831" i="3" s="1"/>
  <c r="K832" i="3" s="1"/>
  <c r="K833" i="3" s="1"/>
  <c r="K834" i="3" s="1"/>
  <c r="K835" i="3" s="1"/>
  <c r="K836" i="3" s="1"/>
  <c r="K837" i="3" s="1"/>
  <c r="K838" i="3" s="1"/>
  <c r="K839" i="3" s="1"/>
  <c r="K840" i="3" s="1"/>
  <c r="K841" i="3" s="1"/>
  <c r="K842" i="3" s="1"/>
  <c r="K843" i="3" s="1"/>
  <c r="K844" i="3" s="1"/>
  <c r="G846" i="3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G863" i="3" s="1"/>
  <c r="G864" i="3" s="1"/>
  <c r="G865" i="3" s="1"/>
  <c r="G866" i="3" s="1"/>
  <c r="G867" i="3" s="1"/>
  <c r="G868" i="3" s="1"/>
  <c r="G869" i="3" s="1"/>
  <c r="G870" i="3" s="1"/>
  <c r="G871" i="3" s="1"/>
  <c r="G872" i="3" s="1"/>
  <c r="G873" i="3" s="1"/>
  <c r="G874" i="3" s="1"/>
  <c r="G875" i="3" s="1"/>
  <c r="G876" i="3" s="1"/>
  <c r="G877" i="3" s="1"/>
  <c r="G878" i="3" s="1"/>
  <c r="G879" i="3" s="1"/>
  <c r="G880" i="3" s="1"/>
  <c r="G881" i="3" s="1"/>
  <c r="G882" i="3" s="1"/>
  <c r="G883" i="3" s="1"/>
  <c r="G884" i="3" s="1"/>
  <c r="K846" i="3"/>
  <c r="K847" i="3" s="1"/>
  <c r="K848" i="3" s="1"/>
  <c r="K849" i="3" s="1"/>
  <c r="K850" i="3" s="1"/>
  <c r="K851" i="3" s="1"/>
  <c r="K852" i="3" s="1"/>
  <c r="K853" i="3" s="1"/>
  <c r="K854" i="3" s="1"/>
  <c r="K855" i="3" s="1"/>
  <c r="K856" i="3" s="1"/>
  <c r="K857" i="3" s="1"/>
  <c r="K858" i="3" s="1"/>
  <c r="K859" i="3" s="1"/>
  <c r="K860" i="3" s="1"/>
  <c r="K861" i="3" s="1"/>
  <c r="K862" i="3" s="1"/>
  <c r="K863" i="3" s="1"/>
  <c r="K864" i="3" s="1"/>
  <c r="K865" i="3" s="1"/>
  <c r="K866" i="3" s="1"/>
  <c r="K867" i="3" s="1"/>
  <c r="K868" i="3" s="1"/>
  <c r="K869" i="3" s="1"/>
  <c r="K870" i="3" s="1"/>
  <c r="K871" i="3" s="1"/>
  <c r="K872" i="3" s="1"/>
  <c r="K873" i="3" s="1"/>
  <c r="K874" i="3" s="1"/>
  <c r="K875" i="3" s="1"/>
  <c r="K876" i="3" s="1"/>
  <c r="K877" i="3" s="1"/>
  <c r="K878" i="3" s="1"/>
  <c r="K879" i="3" s="1"/>
  <c r="K880" i="3" s="1"/>
  <c r="K881" i="3" s="1"/>
  <c r="K882" i="3" s="1"/>
  <c r="K883" i="3" s="1"/>
  <c r="K884" i="3" s="1"/>
  <c r="G888" i="3"/>
  <c r="G889" i="3" s="1"/>
  <c r="G890" i="3" s="1"/>
  <c r="G891" i="3" s="1"/>
  <c r="G892" i="3" s="1"/>
  <c r="G893" i="3" s="1"/>
  <c r="G894" i="3" s="1"/>
  <c r="G895" i="3" s="1"/>
  <c r="G896" i="3" s="1"/>
  <c r="G897" i="3" s="1"/>
  <c r="G898" i="3" s="1"/>
  <c r="G899" i="3" s="1"/>
  <c r="G900" i="3" s="1"/>
  <c r="G901" i="3" s="1"/>
  <c r="G902" i="3" s="1"/>
  <c r="G903" i="3" s="1"/>
  <c r="G904" i="3" s="1"/>
  <c r="G905" i="3" s="1"/>
  <c r="G906" i="3" s="1"/>
  <c r="G907" i="3" s="1"/>
  <c r="G908" i="3" s="1"/>
  <c r="G909" i="3" s="1"/>
  <c r="G910" i="3" s="1"/>
  <c r="G911" i="3" s="1"/>
  <c r="G912" i="3" s="1"/>
  <c r="G913" i="3" s="1"/>
  <c r="G914" i="3" s="1"/>
  <c r="G915" i="3" s="1"/>
  <c r="G916" i="3" s="1"/>
  <c r="G917" i="3" s="1"/>
  <c r="G918" i="3" s="1"/>
  <c r="G919" i="3" s="1"/>
  <c r="G920" i="3" s="1"/>
  <c r="G921" i="3" s="1"/>
  <c r="G922" i="3" s="1"/>
  <c r="G923" i="3" s="1"/>
  <c r="G924" i="3" s="1"/>
  <c r="G925" i="3" s="1"/>
  <c r="G926" i="3" s="1"/>
  <c r="K888" i="3"/>
  <c r="G928" i="3"/>
  <c r="G929" i="3" s="1"/>
  <c r="G930" i="3" s="1"/>
  <c r="G931" i="3" s="1"/>
  <c r="G932" i="3" s="1"/>
  <c r="G933" i="3" s="1"/>
  <c r="G934" i="3" s="1"/>
  <c r="G935" i="3" s="1"/>
  <c r="G936" i="3" s="1"/>
  <c r="G937" i="3" s="1"/>
  <c r="G938" i="3" s="1"/>
  <c r="G939" i="3" s="1"/>
  <c r="G940" i="3" s="1"/>
  <c r="G941" i="3" s="1"/>
  <c r="G942" i="3" s="1"/>
  <c r="G943" i="3" s="1"/>
  <c r="G944" i="3" s="1"/>
  <c r="G945" i="3" s="1"/>
  <c r="G946" i="3" s="1"/>
  <c r="G947" i="3" s="1"/>
  <c r="G948" i="3" s="1"/>
  <c r="G949" i="3" s="1"/>
  <c r="G950" i="3" s="1"/>
  <c r="G951" i="3" s="1"/>
  <c r="G952" i="3" s="1"/>
  <c r="G953" i="3" s="1"/>
  <c r="G954" i="3" s="1"/>
  <c r="G955" i="3" s="1"/>
  <c r="G956" i="3" s="1"/>
  <c r="G957" i="3" s="1"/>
  <c r="G958" i="3" s="1"/>
  <c r="G959" i="3" s="1"/>
  <c r="G960" i="3" s="1"/>
  <c r="G961" i="3" s="1"/>
  <c r="G962" i="3" s="1"/>
  <c r="G963" i="3" s="1"/>
  <c r="G964" i="3" s="1"/>
  <c r="G965" i="3" s="1"/>
  <c r="G966" i="3" s="1"/>
  <c r="K928" i="3"/>
  <c r="K929" i="3" s="1"/>
  <c r="K930" i="3" s="1"/>
  <c r="K931" i="3" s="1"/>
  <c r="K932" i="3" s="1"/>
  <c r="K933" i="3" s="1"/>
  <c r="K934" i="3" s="1"/>
  <c r="K935" i="3" s="1"/>
  <c r="K936" i="3" s="1"/>
  <c r="K937" i="3" s="1"/>
  <c r="K938" i="3" s="1"/>
  <c r="K939" i="3" s="1"/>
  <c r="K940" i="3" s="1"/>
  <c r="K941" i="3" s="1"/>
  <c r="K942" i="3" s="1"/>
  <c r="K943" i="3" s="1"/>
  <c r="K944" i="3" s="1"/>
  <c r="K945" i="3" s="1"/>
  <c r="K946" i="3" s="1"/>
  <c r="K947" i="3" s="1"/>
  <c r="K948" i="3" s="1"/>
  <c r="K949" i="3" s="1"/>
  <c r="K950" i="3" s="1"/>
  <c r="K951" i="3" s="1"/>
  <c r="K952" i="3" s="1"/>
  <c r="K953" i="3" s="1"/>
  <c r="K954" i="3" s="1"/>
  <c r="K955" i="3" s="1"/>
  <c r="K956" i="3" s="1"/>
  <c r="K957" i="3" s="1"/>
  <c r="K958" i="3" s="1"/>
  <c r="K959" i="3" s="1"/>
  <c r="K960" i="3" s="1"/>
  <c r="K961" i="3" s="1"/>
  <c r="K962" i="3" s="1"/>
  <c r="K963" i="3" s="1"/>
  <c r="K964" i="3" s="1"/>
  <c r="K965" i="3" s="1"/>
  <c r="K966" i="3" s="1"/>
  <c r="G968" i="3"/>
  <c r="G969" i="3" s="1"/>
  <c r="G970" i="3" s="1"/>
  <c r="G971" i="3" s="1"/>
  <c r="G972" i="3" s="1"/>
  <c r="G973" i="3" s="1"/>
  <c r="G974" i="3" s="1"/>
  <c r="G975" i="3" s="1"/>
  <c r="G976" i="3" s="1"/>
  <c r="G977" i="3" s="1"/>
  <c r="G978" i="3" s="1"/>
  <c r="G979" i="3" s="1"/>
  <c r="G980" i="3" s="1"/>
  <c r="G981" i="3" s="1"/>
  <c r="G982" i="3" s="1"/>
  <c r="G983" i="3" s="1"/>
  <c r="G984" i="3" s="1"/>
  <c r="G985" i="3" s="1"/>
  <c r="G986" i="3" s="1"/>
  <c r="G987" i="3" s="1"/>
  <c r="G988" i="3" s="1"/>
  <c r="G989" i="3" s="1"/>
  <c r="G990" i="3" s="1"/>
  <c r="G991" i="3" s="1"/>
  <c r="G992" i="3" s="1"/>
  <c r="G993" i="3" s="1"/>
  <c r="G994" i="3" s="1"/>
  <c r="G995" i="3" s="1"/>
  <c r="G996" i="3" s="1"/>
  <c r="G997" i="3" s="1"/>
  <c r="G998" i="3" s="1"/>
  <c r="G999" i="3" s="1"/>
  <c r="G1000" i="3" s="1"/>
  <c r="G1001" i="3" s="1"/>
  <c r="G1002" i="3" s="1"/>
  <c r="G1003" i="3" s="1"/>
  <c r="G1004" i="3" s="1"/>
  <c r="G1005" i="3" s="1"/>
  <c r="G1006" i="3" s="1"/>
  <c r="K968" i="3"/>
  <c r="K969" i="3" s="1"/>
  <c r="K970" i="3" s="1"/>
  <c r="K971" i="3" s="1"/>
  <c r="K972" i="3" s="1"/>
  <c r="K973" i="3" s="1"/>
  <c r="K974" i="3" s="1"/>
  <c r="K975" i="3" s="1"/>
  <c r="K976" i="3" s="1"/>
  <c r="K977" i="3" s="1"/>
  <c r="K978" i="3" s="1"/>
  <c r="K979" i="3" s="1"/>
  <c r="K980" i="3" s="1"/>
  <c r="K981" i="3" s="1"/>
  <c r="K982" i="3" s="1"/>
  <c r="K983" i="3" s="1"/>
  <c r="K984" i="3" s="1"/>
  <c r="K985" i="3" s="1"/>
  <c r="K986" i="3" s="1"/>
  <c r="K987" i="3" s="1"/>
  <c r="K988" i="3" s="1"/>
  <c r="K989" i="3" s="1"/>
  <c r="K990" i="3" s="1"/>
  <c r="K991" i="3" s="1"/>
  <c r="K992" i="3" s="1"/>
  <c r="K993" i="3" s="1"/>
  <c r="K994" i="3" s="1"/>
  <c r="K995" i="3" s="1"/>
  <c r="K996" i="3" s="1"/>
  <c r="K997" i="3" s="1"/>
  <c r="K998" i="3" s="1"/>
  <c r="K999" i="3" s="1"/>
  <c r="K1000" i="3" s="1"/>
  <c r="K1001" i="3" s="1"/>
  <c r="K1002" i="3" s="1"/>
  <c r="K1003" i="3" s="1"/>
  <c r="K1004" i="3" s="1"/>
  <c r="K1005" i="3" s="1"/>
  <c r="K1006" i="3" s="1"/>
  <c r="G1010" i="3"/>
  <c r="G1011" i="3" s="1"/>
  <c r="G1012" i="3" s="1"/>
  <c r="G1013" i="3" s="1"/>
  <c r="G1014" i="3" s="1"/>
  <c r="G1015" i="3" s="1"/>
  <c r="G1016" i="3" s="1"/>
  <c r="G1017" i="3" s="1"/>
  <c r="G1018" i="3" s="1"/>
  <c r="G1019" i="3" s="1"/>
  <c r="G1020" i="3" s="1"/>
  <c r="G1021" i="3" s="1"/>
  <c r="G1022" i="3" s="1"/>
  <c r="G1023" i="3" s="1"/>
  <c r="G1024" i="3" s="1"/>
  <c r="G1025" i="3" s="1"/>
  <c r="G1026" i="3" s="1"/>
  <c r="G1027" i="3" s="1"/>
  <c r="G1028" i="3" s="1"/>
  <c r="G1029" i="3" s="1"/>
  <c r="G1030" i="3" s="1"/>
  <c r="G1031" i="3" s="1"/>
  <c r="G1032" i="3" s="1"/>
  <c r="G1033" i="3" s="1"/>
  <c r="G1034" i="3" s="1"/>
  <c r="G1035" i="3" s="1"/>
  <c r="G1036" i="3" s="1"/>
  <c r="G1037" i="3" s="1"/>
  <c r="G1038" i="3" s="1"/>
  <c r="G1039" i="3" s="1"/>
  <c r="G1040" i="3" s="1"/>
  <c r="G1041" i="3" s="1"/>
  <c r="G1042" i="3" s="1"/>
  <c r="G1043" i="3" s="1"/>
  <c r="G1044" i="3" s="1"/>
  <c r="G1045" i="3" s="1"/>
  <c r="G1046" i="3" s="1"/>
  <c r="G1047" i="3" s="1"/>
  <c r="G1048" i="3" s="1"/>
  <c r="K1010" i="3"/>
  <c r="K1011" i="3" s="1"/>
  <c r="K1012" i="3" s="1"/>
  <c r="K1013" i="3" s="1"/>
  <c r="K1014" i="3" s="1"/>
  <c r="K1015" i="3" s="1"/>
  <c r="K1016" i="3" s="1"/>
  <c r="K1017" i="3" s="1"/>
  <c r="K1018" i="3" s="1"/>
  <c r="K1019" i="3" s="1"/>
  <c r="K1020" i="3" s="1"/>
  <c r="K1021" i="3" s="1"/>
  <c r="K1022" i="3" s="1"/>
  <c r="K1023" i="3" s="1"/>
  <c r="K1024" i="3" s="1"/>
  <c r="K1025" i="3" s="1"/>
  <c r="K1026" i="3" s="1"/>
  <c r="K1027" i="3" s="1"/>
  <c r="K1028" i="3" s="1"/>
  <c r="K1029" i="3" s="1"/>
  <c r="K1030" i="3" s="1"/>
  <c r="K1031" i="3" s="1"/>
  <c r="K1032" i="3" s="1"/>
  <c r="K1033" i="3" s="1"/>
  <c r="K1034" i="3" s="1"/>
  <c r="K1035" i="3" s="1"/>
  <c r="K1036" i="3" s="1"/>
  <c r="K1037" i="3" s="1"/>
  <c r="K1038" i="3" s="1"/>
  <c r="K1039" i="3" s="1"/>
  <c r="K1040" i="3" s="1"/>
  <c r="K1041" i="3" s="1"/>
  <c r="K1042" i="3" s="1"/>
  <c r="K1043" i="3" s="1"/>
  <c r="K1044" i="3" s="1"/>
  <c r="K1045" i="3" s="1"/>
  <c r="K1046" i="3" s="1"/>
  <c r="K1047" i="3" s="1"/>
  <c r="K1048" i="3" s="1"/>
  <c r="G1050" i="3"/>
  <c r="G1051" i="3" s="1"/>
  <c r="G1052" i="3" s="1"/>
  <c r="G1053" i="3" s="1"/>
  <c r="G1054" i="3" s="1"/>
  <c r="G1055" i="3" s="1"/>
  <c r="G1056" i="3" s="1"/>
  <c r="G1057" i="3" s="1"/>
  <c r="G1058" i="3" s="1"/>
  <c r="G1059" i="3" s="1"/>
  <c r="G1060" i="3" s="1"/>
  <c r="G1061" i="3" s="1"/>
  <c r="G1062" i="3" s="1"/>
  <c r="G1063" i="3" s="1"/>
  <c r="G1064" i="3" s="1"/>
  <c r="G1065" i="3" s="1"/>
  <c r="G1066" i="3" s="1"/>
  <c r="G1067" i="3" s="1"/>
  <c r="G1068" i="3" s="1"/>
  <c r="G1069" i="3" s="1"/>
  <c r="G1070" i="3" s="1"/>
  <c r="G1071" i="3" s="1"/>
  <c r="G1072" i="3" s="1"/>
  <c r="G1073" i="3" s="1"/>
  <c r="G1074" i="3" s="1"/>
  <c r="G1075" i="3" s="1"/>
  <c r="G1076" i="3" s="1"/>
  <c r="G1077" i="3" s="1"/>
  <c r="G1078" i="3" s="1"/>
  <c r="G1079" i="3" s="1"/>
  <c r="G1080" i="3" s="1"/>
  <c r="G1081" i="3" s="1"/>
  <c r="G1082" i="3" s="1"/>
  <c r="G1083" i="3" s="1"/>
  <c r="G1084" i="3" s="1"/>
  <c r="G1085" i="3" s="1"/>
  <c r="G1086" i="3" s="1"/>
  <c r="G1087" i="3" s="1"/>
  <c r="G1088" i="3" s="1"/>
  <c r="K1050" i="3"/>
  <c r="K1051" i="3" s="1"/>
  <c r="K1052" i="3" s="1"/>
  <c r="K1053" i="3" s="1"/>
  <c r="K1054" i="3" s="1"/>
  <c r="K1055" i="3" s="1"/>
  <c r="K1056" i="3" s="1"/>
  <c r="K1057" i="3" s="1"/>
  <c r="K1058" i="3" s="1"/>
  <c r="K1059" i="3" s="1"/>
  <c r="K1060" i="3" s="1"/>
  <c r="K1061" i="3" s="1"/>
  <c r="K1062" i="3" s="1"/>
  <c r="K1063" i="3" s="1"/>
  <c r="K1064" i="3" s="1"/>
  <c r="K1065" i="3" s="1"/>
  <c r="K1066" i="3" s="1"/>
  <c r="K1067" i="3" s="1"/>
  <c r="K1068" i="3" s="1"/>
  <c r="K1069" i="3" s="1"/>
  <c r="K1070" i="3" s="1"/>
  <c r="K1071" i="3" s="1"/>
  <c r="K1072" i="3" s="1"/>
  <c r="K1073" i="3" s="1"/>
  <c r="K1074" i="3" s="1"/>
  <c r="K1075" i="3" s="1"/>
  <c r="K1076" i="3" s="1"/>
  <c r="K1077" i="3" s="1"/>
  <c r="K1078" i="3" s="1"/>
  <c r="K1079" i="3" s="1"/>
  <c r="K1080" i="3" s="1"/>
  <c r="K1081" i="3" s="1"/>
  <c r="K1082" i="3" s="1"/>
  <c r="K1083" i="3" s="1"/>
  <c r="K1084" i="3" s="1"/>
  <c r="K1085" i="3" s="1"/>
  <c r="K1086" i="3" s="1"/>
  <c r="K1087" i="3" s="1"/>
  <c r="K1088" i="3" s="1"/>
  <c r="K1089" i="3"/>
  <c r="K1090" i="3" s="1"/>
  <c r="K1091" i="3" s="1"/>
  <c r="K1092" i="3" s="1"/>
  <c r="K1093" i="3" s="1"/>
  <c r="K1094" i="3" s="1"/>
  <c r="K1095" i="3" s="1"/>
  <c r="K1096" i="3" s="1"/>
  <c r="K1097" i="3" s="1"/>
  <c r="K1098" i="3" s="1"/>
  <c r="K1099" i="3" s="1"/>
  <c r="K1100" i="3" s="1"/>
  <c r="K1101" i="3" s="1"/>
  <c r="K1102" i="3" s="1"/>
  <c r="K1103" i="3" s="1"/>
  <c r="K1104" i="3" s="1"/>
  <c r="K1105" i="3" s="1"/>
  <c r="K1106" i="3" s="1"/>
  <c r="K1107" i="3" s="1"/>
  <c r="K1108" i="3" s="1"/>
  <c r="K1109" i="3" s="1"/>
  <c r="K1110" i="3" s="1"/>
  <c r="K1111" i="3" s="1"/>
  <c r="K1112" i="3" s="1"/>
  <c r="K1113" i="3" s="1"/>
  <c r="K1114" i="3" s="1"/>
  <c r="K1115" i="3" s="1"/>
  <c r="K1116" i="3" s="1"/>
  <c r="K1117" i="3" s="1"/>
  <c r="K1118" i="3" s="1"/>
  <c r="K1119" i="3" s="1"/>
  <c r="K1120" i="3" s="1"/>
  <c r="K1121" i="3" s="1"/>
  <c r="K1122" i="3" s="1"/>
  <c r="K1123" i="3" s="1"/>
  <c r="K1124" i="3" s="1"/>
  <c r="K1125" i="3" s="1"/>
  <c r="K1126" i="3" s="1"/>
  <c r="K1127" i="3" s="1"/>
  <c r="K1128" i="3" s="1"/>
  <c r="G1090" i="3"/>
  <c r="G1091" i="3" s="1"/>
  <c r="G1092" i="3" s="1"/>
  <c r="G1093" i="3" s="1"/>
  <c r="G1094" i="3" s="1"/>
  <c r="G1095" i="3" s="1"/>
  <c r="G1096" i="3" s="1"/>
  <c r="G1097" i="3" s="1"/>
  <c r="G1098" i="3" s="1"/>
  <c r="G1099" i="3" s="1"/>
  <c r="G1100" i="3" s="1"/>
  <c r="G1101" i="3" s="1"/>
  <c r="G1102" i="3" s="1"/>
  <c r="G1103" i="3" s="1"/>
  <c r="G1104" i="3" s="1"/>
  <c r="G1105" i="3" s="1"/>
  <c r="G1106" i="3" s="1"/>
  <c r="G1107" i="3" s="1"/>
  <c r="G1108" i="3" s="1"/>
  <c r="G1109" i="3" s="1"/>
  <c r="G1110" i="3" s="1"/>
  <c r="G1111" i="3" s="1"/>
  <c r="G1112" i="3" s="1"/>
  <c r="G1113" i="3" s="1"/>
  <c r="G1114" i="3" s="1"/>
  <c r="G1115" i="3" s="1"/>
  <c r="G1116" i="3" s="1"/>
  <c r="G1117" i="3" s="1"/>
  <c r="G1118" i="3" s="1"/>
  <c r="G1119" i="3" s="1"/>
  <c r="G1120" i="3" s="1"/>
  <c r="G1121" i="3" s="1"/>
  <c r="G1122" i="3" s="1"/>
  <c r="G1123" i="3" s="1"/>
  <c r="G1124" i="3" s="1"/>
  <c r="G1125" i="3" s="1"/>
  <c r="G1126" i="3" s="1"/>
  <c r="G1127" i="3" s="1"/>
  <c r="G1128" i="3" s="1"/>
  <c r="G1145" i="3"/>
  <c r="H1145" i="3" s="1"/>
  <c r="G1147" i="3"/>
  <c r="G1148" i="3" s="1"/>
  <c r="G1149" i="3" s="1"/>
  <c r="K1147" i="3"/>
  <c r="K1148" i="3" s="1"/>
  <c r="H1148" i="3" s="1"/>
  <c r="K1150" i="3"/>
  <c r="K1151" i="3" s="1"/>
  <c r="K1152" i="3" s="1"/>
  <c r="K1153" i="3" s="1"/>
  <c r="K1154" i="3" s="1"/>
  <c r="K1155" i="3" s="1"/>
  <c r="K1157" i="3"/>
  <c r="K1158" i="3" s="1"/>
  <c r="K1160" i="3"/>
  <c r="K1161" i="3" s="1"/>
  <c r="K1162" i="3" s="1"/>
  <c r="G1161" i="3"/>
  <c r="G1162" i="3" s="1"/>
  <c r="G1163" i="3" s="1"/>
  <c r="H1163" i="3" s="1"/>
  <c r="K1164" i="3"/>
  <c r="K1165" i="3" s="1"/>
  <c r="G1165" i="3"/>
  <c r="K1167" i="3"/>
  <c r="K1168" i="3" s="1"/>
  <c r="K1169" i="3" s="1"/>
  <c r="K1170" i="3" s="1"/>
  <c r="K1171" i="3" s="1"/>
  <c r="K1172" i="3" s="1"/>
  <c r="K1173" i="3" s="1"/>
  <c r="K1174" i="3" s="1"/>
  <c r="K1175" i="3" s="1"/>
  <c r="K1176" i="3" s="1"/>
  <c r="K1177" i="3" s="1"/>
  <c r="K1178" i="3" s="1"/>
  <c r="K1179" i="3" s="1"/>
  <c r="H1179" i="3" s="1"/>
  <c r="G1169" i="3"/>
  <c r="G1170" i="3" s="1"/>
  <c r="G1172" i="3"/>
  <c r="G1173" i="3" s="1"/>
  <c r="G1288" i="3"/>
  <c r="G1289" i="3" s="1"/>
  <c r="H1289" i="3" s="1"/>
  <c r="K1288" i="3"/>
  <c r="H966" i="3" l="1"/>
  <c r="H1088" i="3"/>
  <c r="H844" i="3"/>
  <c r="H722" i="3"/>
  <c r="H478" i="3"/>
  <c r="H175" i="3"/>
  <c r="H1048" i="3"/>
  <c r="H804" i="3"/>
  <c r="H560" i="3"/>
  <c r="H884" i="3"/>
  <c r="H640" i="3"/>
  <c r="H396" i="3"/>
  <c r="H515" i="3"/>
  <c r="H735" i="3"/>
  <c r="H955" i="3"/>
  <c r="H1089" i="3"/>
  <c r="H747" i="3"/>
  <c r="H516" i="3"/>
  <c r="H736" i="3"/>
  <c r="H956" i="3"/>
  <c r="H443" i="3"/>
  <c r="H554" i="3"/>
  <c r="H748" i="3"/>
  <c r="H968" i="3"/>
  <c r="H444" i="3"/>
  <c r="H979" i="3"/>
  <c r="H455" i="3"/>
  <c r="H786" i="3"/>
  <c r="H980" i="3"/>
  <c r="H456" i="3"/>
  <c r="H797" i="3"/>
  <c r="H600" i="3"/>
  <c r="H346" i="3"/>
  <c r="H798" i="3"/>
  <c r="H1018" i="3"/>
  <c r="H179" i="3"/>
  <c r="H491" i="3"/>
  <c r="H687" i="3"/>
  <c r="H1029" i="3"/>
  <c r="H190" i="3"/>
  <c r="H492" i="3"/>
  <c r="H688" i="3"/>
  <c r="H1030" i="3"/>
  <c r="H191" i="3"/>
  <c r="H503" i="3"/>
  <c r="H1041" i="3"/>
  <c r="H1006" i="3"/>
  <c r="H762" i="3"/>
  <c r="H518" i="3"/>
  <c r="H504" i="3"/>
  <c r="H724" i="3"/>
  <c r="H625" i="3"/>
  <c r="H565" i="3"/>
  <c r="H869" i="3"/>
  <c r="H1101" i="3"/>
  <c r="H1102" i="3"/>
  <c r="H314" i="3"/>
  <c r="H881" i="3"/>
  <c r="H1042" i="3"/>
  <c r="H202" i="3"/>
  <c r="H589" i="3"/>
  <c r="H759" i="3"/>
  <c r="H1053" i="3"/>
  <c r="H203" i="3"/>
  <c r="H529" i="3"/>
  <c r="H760" i="3"/>
  <c r="H822" i="3"/>
  <c r="H992" i="3"/>
  <c r="H1126" i="3"/>
  <c r="H214" i="3"/>
  <c r="H338" i="3"/>
  <c r="H467" i="3"/>
  <c r="H530" i="3"/>
  <c r="H699" i="3"/>
  <c r="H833" i="3"/>
  <c r="H931" i="3"/>
  <c r="H1003" i="3"/>
  <c r="H1065" i="3"/>
  <c r="H215" i="3"/>
  <c r="H339" i="3"/>
  <c r="H468" i="3"/>
  <c r="H541" i="3"/>
  <c r="H602" i="3"/>
  <c r="H700" i="3"/>
  <c r="H773" i="3"/>
  <c r="H834" i="3"/>
  <c r="H932" i="3"/>
  <c r="H1004" i="3"/>
  <c r="H1066" i="3"/>
  <c r="H226" i="3"/>
  <c r="H381" i="3"/>
  <c r="H542" i="3"/>
  <c r="H613" i="3"/>
  <c r="H711" i="3"/>
  <c r="H774" i="3"/>
  <c r="H943" i="3"/>
  <c r="H1077" i="3"/>
  <c r="H637" i="3"/>
  <c r="H303" i="3"/>
  <c r="H638" i="3"/>
  <c r="H870" i="3"/>
  <c r="H1175" i="3"/>
  <c r="H1165" i="3"/>
  <c r="H577" i="3"/>
  <c r="H809" i="3"/>
  <c r="H1113" i="3"/>
  <c r="H315" i="3"/>
  <c r="H882" i="3"/>
  <c r="H1114" i="3"/>
  <c r="H1162" i="3"/>
  <c r="H821" i="3"/>
  <c r="H1125" i="3"/>
  <c r="H227" i="3"/>
  <c r="H382" i="3"/>
  <c r="H480" i="3"/>
  <c r="H553" i="3"/>
  <c r="H614" i="3"/>
  <c r="H712" i="3"/>
  <c r="H785" i="3"/>
  <c r="H846" i="3"/>
  <c r="H944" i="3"/>
  <c r="H1017" i="3"/>
  <c r="H1078" i="3"/>
  <c r="H393" i="3"/>
  <c r="H1128" i="3"/>
  <c r="H394" i="3"/>
  <c r="H626" i="3"/>
  <c r="H858" i="3"/>
  <c r="H1090" i="3"/>
  <c r="H1164" i="3"/>
  <c r="H1176" i="3"/>
  <c r="H857" i="3"/>
  <c r="H302" i="3"/>
  <c r="H566" i="3"/>
  <c r="H578" i="3"/>
  <c r="H810" i="3"/>
  <c r="H326" i="3"/>
  <c r="H991" i="3"/>
  <c r="H327" i="3"/>
  <c r="H590" i="3"/>
  <c r="H1054" i="3"/>
  <c r="H1288" i="3"/>
  <c r="G1150" i="3"/>
  <c r="G1151" i="3" s="1"/>
  <c r="H1149" i="3"/>
  <c r="K889" i="3"/>
  <c r="H888" i="3"/>
  <c r="K645" i="3"/>
  <c r="H644" i="3"/>
  <c r="K401" i="3"/>
  <c r="H400" i="3"/>
  <c r="K148" i="3"/>
  <c r="H147" i="3"/>
  <c r="H180" i="3"/>
  <c r="H192" i="3"/>
  <c r="H204" i="3"/>
  <c r="H216" i="3"/>
  <c r="H228" i="3"/>
  <c r="H304" i="3"/>
  <c r="H316" i="3"/>
  <c r="H328" i="3"/>
  <c r="H340" i="3"/>
  <c r="H383" i="3"/>
  <c r="H395" i="3"/>
  <c r="H445" i="3"/>
  <c r="H457" i="3"/>
  <c r="H469" i="3"/>
  <c r="H481" i="3"/>
  <c r="H493" i="3"/>
  <c r="H505" i="3"/>
  <c r="H517" i="3"/>
  <c r="H531" i="3"/>
  <c r="H543" i="3"/>
  <c r="H555" i="3"/>
  <c r="H567" i="3"/>
  <c r="H579" i="3"/>
  <c r="H591" i="3"/>
  <c r="H603" i="3"/>
  <c r="H615" i="3"/>
  <c r="H627" i="3"/>
  <c r="H639" i="3"/>
  <c r="H689" i="3"/>
  <c r="H701" i="3"/>
  <c r="H713" i="3"/>
  <c r="H725" i="3"/>
  <c r="H737" i="3"/>
  <c r="H749" i="3"/>
  <c r="H761" i="3"/>
  <c r="H775" i="3"/>
  <c r="H787" i="3"/>
  <c r="H799" i="3"/>
  <c r="H811" i="3"/>
  <c r="H823" i="3"/>
  <c r="H835" i="3"/>
  <c r="H847" i="3"/>
  <c r="H859" i="3"/>
  <c r="H871" i="3"/>
  <c r="H883" i="3"/>
  <c r="H933" i="3"/>
  <c r="H945" i="3"/>
  <c r="H957" i="3"/>
  <c r="H969" i="3"/>
  <c r="H981" i="3"/>
  <c r="H993" i="3"/>
  <c r="H1005" i="3"/>
  <c r="H1019" i="3"/>
  <c r="H1031" i="3"/>
  <c r="H1043" i="3"/>
  <c r="H1055" i="3"/>
  <c r="H1067" i="3"/>
  <c r="H1079" i="3"/>
  <c r="H1091" i="3"/>
  <c r="H1103" i="3"/>
  <c r="H1115" i="3"/>
  <c r="H1127" i="3"/>
  <c r="H1177" i="3"/>
  <c r="H181" i="3"/>
  <c r="H193" i="3"/>
  <c r="H205" i="3"/>
  <c r="H217" i="3"/>
  <c r="H229" i="3"/>
  <c r="H293" i="3"/>
  <c r="H305" i="3"/>
  <c r="H317" i="3"/>
  <c r="H329" i="3"/>
  <c r="H341" i="3"/>
  <c r="H384" i="3"/>
  <c r="H446" i="3"/>
  <c r="H458" i="3"/>
  <c r="H470" i="3"/>
  <c r="H482" i="3"/>
  <c r="H494" i="3"/>
  <c r="H506" i="3"/>
  <c r="H532" i="3"/>
  <c r="H544" i="3"/>
  <c r="H556" i="3"/>
  <c r="H568" i="3"/>
  <c r="H580" i="3"/>
  <c r="H592" i="3"/>
  <c r="H604" i="3"/>
  <c r="H616" i="3"/>
  <c r="H628" i="3"/>
  <c r="H690" i="3"/>
  <c r="H702" i="3"/>
  <c r="H714" i="3"/>
  <c r="H726" i="3"/>
  <c r="H738" i="3"/>
  <c r="H750" i="3"/>
  <c r="H776" i="3"/>
  <c r="H788" i="3"/>
  <c r="H800" i="3"/>
  <c r="H812" i="3"/>
  <c r="H824" i="3"/>
  <c r="H836" i="3"/>
  <c r="H848" i="3"/>
  <c r="H860" i="3"/>
  <c r="H872" i="3"/>
  <c r="H934" i="3"/>
  <c r="H946" i="3"/>
  <c r="H958" i="3"/>
  <c r="H970" i="3"/>
  <c r="H982" i="3"/>
  <c r="H994" i="3"/>
  <c r="H1020" i="3"/>
  <c r="H1032" i="3"/>
  <c r="H1044" i="3"/>
  <c r="H1056" i="3"/>
  <c r="H1068" i="3"/>
  <c r="H1080" i="3"/>
  <c r="H1092" i="3"/>
  <c r="H1104" i="3"/>
  <c r="H1116" i="3"/>
  <c r="H1178" i="3"/>
  <c r="H182" i="3"/>
  <c r="H194" i="3"/>
  <c r="H206" i="3"/>
  <c r="H218" i="3"/>
  <c r="H230" i="3"/>
  <c r="H294" i="3"/>
  <c r="H306" i="3"/>
  <c r="H318" i="3"/>
  <c r="H330" i="3"/>
  <c r="H342" i="3"/>
  <c r="H385" i="3"/>
  <c r="H447" i="3"/>
  <c r="H459" i="3"/>
  <c r="H471" i="3"/>
  <c r="H483" i="3"/>
  <c r="H495" i="3"/>
  <c r="H507" i="3"/>
  <c r="H533" i="3"/>
  <c r="H545" i="3"/>
  <c r="H557" i="3"/>
  <c r="H569" i="3"/>
  <c r="H581" i="3"/>
  <c r="H593" i="3"/>
  <c r="H605" i="3"/>
  <c r="H617" i="3"/>
  <c r="H629" i="3"/>
  <c r="H691" i="3"/>
  <c r="H703" i="3"/>
  <c r="H715" i="3"/>
  <c r="H727" i="3"/>
  <c r="H739" i="3"/>
  <c r="H751" i="3"/>
  <c r="H777" i="3"/>
  <c r="H789" i="3"/>
  <c r="H801" i="3"/>
  <c r="H813" i="3"/>
  <c r="H825" i="3"/>
  <c r="H837" i="3"/>
  <c r="H849" i="3"/>
  <c r="H861" i="3"/>
  <c r="H873" i="3"/>
  <c r="H935" i="3"/>
  <c r="H947" i="3"/>
  <c r="H959" i="3"/>
  <c r="H971" i="3"/>
  <c r="H983" i="3"/>
  <c r="H995" i="3"/>
  <c r="H1021" i="3"/>
  <c r="H1033" i="3"/>
  <c r="H1045" i="3"/>
  <c r="H1057" i="3"/>
  <c r="H1069" i="3"/>
  <c r="H1081" i="3"/>
  <c r="H1093" i="3"/>
  <c r="H1105" i="3"/>
  <c r="H1117" i="3"/>
  <c r="H1167" i="3"/>
  <c r="H183" i="3"/>
  <c r="H195" i="3"/>
  <c r="H207" i="3"/>
  <c r="H219" i="3"/>
  <c r="H231" i="3"/>
  <c r="H295" i="3"/>
  <c r="H307" i="3"/>
  <c r="H319" i="3"/>
  <c r="H331" i="3"/>
  <c r="H343" i="3"/>
  <c r="H386" i="3"/>
  <c r="H448" i="3"/>
  <c r="H460" i="3"/>
  <c r="H472" i="3"/>
  <c r="H484" i="3"/>
  <c r="H496" i="3"/>
  <c r="H508" i="3"/>
  <c r="H522" i="3"/>
  <c r="H534" i="3"/>
  <c r="H546" i="3"/>
  <c r="H558" i="3"/>
  <c r="H570" i="3"/>
  <c r="H582" i="3"/>
  <c r="H594" i="3"/>
  <c r="H606" i="3"/>
  <c r="H618" i="3"/>
  <c r="H630" i="3"/>
  <c r="H692" i="3"/>
  <c r="H704" i="3"/>
  <c r="H716" i="3"/>
  <c r="H728" i="3"/>
  <c r="H740" i="3"/>
  <c r="H752" i="3"/>
  <c r="H766" i="3"/>
  <c r="H778" i="3"/>
  <c r="H790" i="3"/>
  <c r="H802" i="3"/>
  <c r="H814" i="3"/>
  <c r="H826" i="3"/>
  <c r="H838" i="3"/>
  <c r="H850" i="3"/>
  <c r="H862" i="3"/>
  <c r="H874" i="3"/>
  <c r="H936" i="3"/>
  <c r="H948" i="3"/>
  <c r="H960" i="3"/>
  <c r="H972" i="3"/>
  <c r="H984" i="3"/>
  <c r="H996" i="3"/>
  <c r="H1010" i="3"/>
  <c r="H1022" i="3"/>
  <c r="H1034" i="3"/>
  <c r="H1046" i="3"/>
  <c r="H1058" i="3"/>
  <c r="H1070" i="3"/>
  <c r="H1082" i="3"/>
  <c r="H1094" i="3"/>
  <c r="H1106" i="3"/>
  <c r="H1118" i="3"/>
  <c r="H1168" i="3"/>
  <c r="H184" i="3"/>
  <c r="H196" i="3"/>
  <c r="H208" i="3"/>
  <c r="H220" i="3"/>
  <c r="H296" i="3"/>
  <c r="H308" i="3"/>
  <c r="H320" i="3"/>
  <c r="H332" i="3"/>
  <c r="H344" i="3"/>
  <c r="H387" i="3"/>
  <c r="H449" i="3"/>
  <c r="H461" i="3"/>
  <c r="H473" i="3"/>
  <c r="H485" i="3"/>
  <c r="H497" i="3"/>
  <c r="H509" i="3"/>
  <c r="H523" i="3"/>
  <c r="H535" i="3"/>
  <c r="H547" i="3"/>
  <c r="H559" i="3"/>
  <c r="H571" i="3"/>
  <c r="H583" i="3"/>
  <c r="H595" i="3"/>
  <c r="H607" i="3"/>
  <c r="H619" i="3"/>
  <c r="H631" i="3"/>
  <c r="H693" i="3"/>
  <c r="H705" i="3"/>
  <c r="H717" i="3"/>
  <c r="H729" i="3"/>
  <c r="H741" i="3"/>
  <c r="H753" i="3"/>
  <c r="H767" i="3"/>
  <c r="H779" i="3"/>
  <c r="H791" i="3"/>
  <c r="H803" i="3"/>
  <c r="H815" i="3"/>
  <c r="H827" i="3"/>
  <c r="H839" i="3"/>
  <c r="H851" i="3"/>
  <c r="H863" i="3"/>
  <c r="H875" i="3"/>
  <c r="H937" i="3"/>
  <c r="H949" i="3"/>
  <c r="H961" i="3"/>
  <c r="H973" i="3"/>
  <c r="H985" i="3"/>
  <c r="H997" i="3"/>
  <c r="H1011" i="3"/>
  <c r="H1023" i="3"/>
  <c r="H1035" i="3"/>
  <c r="H1047" i="3"/>
  <c r="H1059" i="3"/>
  <c r="H1071" i="3"/>
  <c r="H1083" i="3"/>
  <c r="H1095" i="3"/>
  <c r="H1107" i="3"/>
  <c r="H1119" i="3"/>
  <c r="H1169" i="3"/>
  <c r="H185" i="3"/>
  <c r="H197" i="3"/>
  <c r="H209" i="3"/>
  <c r="H221" i="3"/>
  <c r="H297" i="3"/>
  <c r="H309" i="3"/>
  <c r="H321" i="3"/>
  <c r="H333" i="3"/>
  <c r="H345" i="3"/>
  <c r="H388" i="3"/>
  <c r="H450" i="3"/>
  <c r="H462" i="3"/>
  <c r="H474" i="3"/>
  <c r="H486" i="3"/>
  <c r="H498" i="3"/>
  <c r="H510" i="3"/>
  <c r="H524" i="3"/>
  <c r="H536" i="3"/>
  <c r="H548" i="3"/>
  <c r="H572" i="3"/>
  <c r="H584" i="3"/>
  <c r="H596" i="3"/>
  <c r="H608" i="3"/>
  <c r="H620" i="3"/>
  <c r="H632" i="3"/>
  <c r="H694" i="3"/>
  <c r="H706" i="3"/>
  <c r="H718" i="3"/>
  <c r="H730" i="3"/>
  <c r="H742" i="3"/>
  <c r="H754" i="3"/>
  <c r="H768" i="3"/>
  <c r="H780" i="3"/>
  <c r="H792" i="3"/>
  <c r="H816" i="3"/>
  <c r="H828" i="3"/>
  <c r="H840" i="3"/>
  <c r="H852" i="3"/>
  <c r="H864" i="3"/>
  <c r="H876" i="3"/>
  <c r="H938" i="3"/>
  <c r="H950" i="3"/>
  <c r="H962" i="3"/>
  <c r="H974" i="3"/>
  <c r="H986" i="3"/>
  <c r="H998" i="3"/>
  <c r="H1012" i="3"/>
  <c r="H1024" i="3"/>
  <c r="H1036" i="3"/>
  <c r="H1060" i="3"/>
  <c r="H1072" i="3"/>
  <c r="H1084" i="3"/>
  <c r="H1096" i="3"/>
  <c r="H1108" i="3"/>
  <c r="H1120" i="3"/>
  <c r="H1170" i="3"/>
  <c r="H186" i="3"/>
  <c r="H198" i="3"/>
  <c r="H210" i="3"/>
  <c r="H222" i="3"/>
  <c r="H298" i="3"/>
  <c r="H310" i="3"/>
  <c r="H322" i="3"/>
  <c r="H334" i="3"/>
  <c r="H389" i="3"/>
  <c r="H451" i="3"/>
  <c r="H463" i="3"/>
  <c r="H475" i="3"/>
  <c r="H487" i="3"/>
  <c r="H499" i="3"/>
  <c r="H511" i="3"/>
  <c r="H525" i="3"/>
  <c r="H537" i="3"/>
  <c r="H549" i="3"/>
  <c r="H573" i="3"/>
  <c r="H585" i="3"/>
  <c r="H597" i="3"/>
  <c r="H609" i="3"/>
  <c r="H621" i="3"/>
  <c r="H633" i="3"/>
  <c r="H695" i="3"/>
  <c r="H707" i="3"/>
  <c r="H719" i="3"/>
  <c r="H731" i="3"/>
  <c r="H743" i="3"/>
  <c r="H755" i="3"/>
  <c r="H769" i="3"/>
  <c r="H781" i="3"/>
  <c r="H793" i="3"/>
  <c r="H817" i="3"/>
  <c r="H829" i="3"/>
  <c r="H841" i="3"/>
  <c r="H853" i="3"/>
  <c r="H865" i="3"/>
  <c r="H877" i="3"/>
  <c r="H939" i="3"/>
  <c r="H951" i="3"/>
  <c r="H963" i="3"/>
  <c r="H975" i="3"/>
  <c r="H987" i="3"/>
  <c r="H999" i="3"/>
  <c r="H1013" i="3"/>
  <c r="H1025" i="3"/>
  <c r="H1037" i="3"/>
  <c r="H1061" i="3"/>
  <c r="H1073" i="3"/>
  <c r="H1085" i="3"/>
  <c r="H1097" i="3"/>
  <c r="H1109" i="3"/>
  <c r="H1121" i="3"/>
  <c r="H1147" i="3"/>
  <c r="H1171" i="3"/>
  <c r="H173" i="3"/>
  <c r="H187" i="3"/>
  <c r="H199" i="3"/>
  <c r="H211" i="3"/>
  <c r="H223" i="3"/>
  <c r="H299" i="3"/>
  <c r="H311" i="3"/>
  <c r="H323" i="3"/>
  <c r="H335" i="3"/>
  <c r="H378" i="3"/>
  <c r="H390" i="3"/>
  <c r="H440" i="3"/>
  <c r="H452" i="3"/>
  <c r="H464" i="3"/>
  <c r="H476" i="3"/>
  <c r="H488" i="3"/>
  <c r="H500" i="3"/>
  <c r="H512" i="3"/>
  <c r="H526" i="3"/>
  <c r="H538" i="3"/>
  <c r="H550" i="3"/>
  <c r="H562" i="3"/>
  <c r="H574" i="3"/>
  <c r="H586" i="3"/>
  <c r="H598" i="3"/>
  <c r="H610" i="3"/>
  <c r="H622" i="3"/>
  <c r="H634" i="3"/>
  <c r="H684" i="3"/>
  <c r="H696" i="3"/>
  <c r="H708" i="3"/>
  <c r="H720" i="3"/>
  <c r="H732" i="3"/>
  <c r="H744" i="3"/>
  <c r="H756" i="3"/>
  <c r="H770" i="3"/>
  <c r="H782" i="3"/>
  <c r="H794" i="3"/>
  <c r="H806" i="3"/>
  <c r="H818" i="3"/>
  <c r="H830" i="3"/>
  <c r="H842" i="3"/>
  <c r="H854" i="3"/>
  <c r="H866" i="3"/>
  <c r="H878" i="3"/>
  <c r="H928" i="3"/>
  <c r="H940" i="3"/>
  <c r="H952" i="3"/>
  <c r="H964" i="3"/>
  <c r="H976" i="3"/>
  <c r="H988" i="3"/>
  <c r="H1000" i="3"/>
  <c r="H1014" i="3"/>
  <c r="H1026" i="3"/>
  <c r="H1038" i="3"/>
  <c r="H1050" i="3"/>
  <c r="H1062" i="3"/>
  <c r="H1074" i="3"/>
  <c r="H1086" i="3"/>
  <c r="H1098" i="3"/>
  <c r="H1110" i="3"/>
  <c r="H1122" i="3"/>
  <c r="H1160" i="3"/>
  <c r="H1172" i="3"/>
  <c r="H174" i="3"/>
  <c r="H188" i="3"/>
  <c r="H200" i="3"/>
  <c r="H212" i="3"/>
  <c r="H224" i="3"/>
  <c r="H300" i="3"/>
  <c r="H312" i="3"/>
  <c r="H324" i="3"/>
  <c r="H336" i="3"/>
  <c r="H379" i="3"/>
  <c r="H391" i="3"/>
  <c r="H441" i="3"/>
  <c r="H453" i="3"/>
  <c r="H465" i="3"/>
  <c r="H477" i="3"/>
  <c r="H489" i="3"/>
  <c r="H501" i="3"/>
  <c r="H513" i="3"/>
  <c r="H527" i="3"/>
  <c r="H539" i="3"/>
  <c r="H551" i="3"/>
  <c r="H563" i="3"/>
  <c r="H575" i="3"/>
  <c r="H587" i="3"/>
  <c r="H599" i="3"/>
  <c r="H611" i="3"/>
  <c r="H623" i="3"/>
  <c r="H635" i="3"/>
  <c r="H685" i="3"/>
  <c r="H697" i="3"/>
  <c r="H709" i="3"/>
  <c r="H721" i="3"/>
  <c r="H733" i="3"/>
  <c r="H745" i="3"/>
  <c r="H757" i="3"/>
  <c r="H771" i="3"/>
  <c r="H783" i="3"/>
  <c r="H795" i="3"/>
  <c r="H807" i="3"/>
  <c r="H819" i="3"/>
  <c r="H831" i="3"/>
  <c r="H843" i="3"/>
  <c r="H855" i="3"/>
  <c r="H867" i="3"/>
  <c r="H879" i="3"/>
  <c r="H929" i="3"/>
  <c r="H941" i="3"/>
  <c r="H953" i="3"/>
  <c r="H965" i="3"/>
  <c r="H977" i="3"/>
  <c r="H989" i="3"/>
  <c r="H1001" i="3"/>
  <c r="H1015" i="3"/>
  <c r="H1027" i="3"/>
  <c r="H1039" i="3"/>
  <c r="H1051" i="3"/>
  <c r="H1063" i="3"/>
  <c r="H1075" i="3"/>
  <c r="H1087" i="3"/>
  <c r="H1099" i="3"/>
  <c r="H1111" i="3"/>
  <c r="H1123" i="3"/>
  <c r="H1161" i="3"/>
  <c r="H1173" i="3"/>
  <c r="H189" i="3"/>
  <c r="H201" i="3"/>
  <c r="H213" i="3"/>
  <c r="H225" i="3"/>
  <c r="H301" i="3"/>
  <c r="H313" i="3"/>
  <c r="H325" i="3"/>
  <c r="H337" i="3"/>
  <c r="H380" i="3"/>
  <c r="H392" i="3"/>
  <c r="H442" i="3"/>
  <c r="H454" i="3"/>
  <c r="H466" i="3"/>
  <c r="H490" i="3"/>
  <c r="H502" i="3"/>
  <c r="H514" i="3"/>
  <c r="H528" i="3"/>
  <c r="H540" i="3"/>
  <c r="H552" i="3"/>
  <c r="H564" i="3"/>
  <c r="H576" i="3"/>
  <c r="H588" i="3"/>
  <c r="H612" i="3"/>
  <c r="H624" i="3"/>
  <c r="H636" i="3"/>
  <c r="H686" i="3"/>
  <c r="H698" i="3"/>
  <c r="H710" i="3"/>
  <c r="H734" i="3"/>
  <c r="H746" i="3"/>
  <c r="H758" i="3"/>
  <c r="H772" i="3"/>
  <c r="H784" i="3"/>
  <c r="H796" i="3"/>
  <c r="H808" i="3"/>
  <c r="H820" i="3"/>
  <c r="H832" i="3"/>
  <c r="H856" i="3"/>
  <c r="H868" i="3"/>
  <c r="H880" i="3"/>
  <c r="H930" i="3"/>
  <c r="H942" i="3"/>
  <c r="H954" i="3"/>
  <c r="H978" i="3"/>
  <c r="H990" i="3"/>
  <c r="H1002" i="3"/>
  <c r="H1016" i="3"/>
  <c r="H1028" i="3"/>
  <c r="H1040" i="3"/>
  <c r="H1052" i="3"/>
  <c r="H1064" i="3"/>
  <c r="H1076" i="3"/>
  <c r="H1100" i="3"/>
  <c r="H1112" i="3"/>
  <c r="H1124" i="3"/>
  <c r="H1174" i="3"/>
  <c r="H128" i="3"/>
  <c r="H92" i="3"/>
  <c r="H93" i="3"/>
  <c r="H94" i="3"/>
  <c r="H96" i="3"/>
  <c r="H100" i="3"/>
  <c r="H143" i="3"/>
  <c r="H108" i="3"/>
  <c r="H112" i="3"/>
  <c r="H120" i="3"/>
  <c r="H132" i="3"/>
  <c r="H97" i="3"/>
  <c r="H109" i="3"/>
  <c r="H121" i="3"/>
  <c r="H133" i="3"/>
  <c r="H98" i="3"/>
  <c r="H110" i="3"/>
  <c r="H122" i="3"/>
  <c r="H134" i="3"/>
  <c r="H99" i="3"/>
  <c r="H111" i="3"/>
  <c r="H123" i="3"/>
  <c r="H135" i="3"/>
  <c r="H124" i="3"/>
  <c r="H136" i="3"/>
  <c r="H101" i="3"/>
  <c r="H113" i="3"/>
  <c r="H125" i="3"/>
  <c r="H137" i="3"/>
  <c r="H90" i="3"/>
  <c r="H102" i="3"/>
  <c r="H114" i="3"/>
  <c r="H126" i="3"/>
  <c r="H138" i="3"/>
  <c r="H91" i="3"/>
  <c r="H103" i="3"/>
  <c r="H115" i="3"/>
  <c r="H127" i="3"/>
  <c r="H139" i="3"/>
  <c r="H104" i="3"/>
  <c r="H116" i="3"/>
  <c r="H140" i="3"/>
  <c r="H105" i="3"/>
  <c r="H117" i="3"/>
  <c r="H141" i="3"/>
  <c r="H106" i="3"/>
  <c r="H118" i="3"/>
  <c r="H130" i="3"/>
  <c r="H142" i="3"/>
  <c r="H95" i="3"/>
  <c r="H107" i="3"/>
  <c r="H119" i="3"/>
  <c r="H131" i="3"/>
  <c r="G237" i="3"/>
  <c r="F15" i="2"/>
  <c r="F16" i="2"/>
  <c r="F19" i="2"/>
  <c r="F20" i="2"/>
  <c r="F22" i="2"/>
  <c r="F23" i="2"/>
  <c r="F25" i="2"/>
  <c r="F26" i="2"/>
  <c r="F28" i="2"/>
  <c r="F29" i="2"/>
  <c r="F31" i="2"/>
  <c r="F32" i="2"/>
  <c r="F34" i="2"/>
  <c r="F35" i="2"/>
  <c r="H1150" i="3" l="1"/>
  <c r="K149" i="3"/>
  <c r="H148" i="3"/>
  <c r="K402" i="3"/>
  <c r="H401" i="3"/>
  <c r="K646" i="3"/>
  <c r="H645" i="3"/>
  <c r="K890" i="3"/>
  <c r="H889" i="3"/>
  <c r="G1152" i="3"/>
  <c r="H1151" i="3"/>
  <c r="K237" i="3"/>
  <c r="H237" i="3" s="1"/>
  <c r="G238" i="3"/>
  <c r="E2" i="2"/>
  <c r="E3" i="2"/>
  <c r="E4" i="2"/>
  <c r="E5" i="2"/>
  <c r="E6" i="2"/>
  <c r="E7" i="2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7" i="2"/>
  <c r="E36" i="2"/>
  <c r="E37" i="2"/>
  <c r="E38" i="2"/>
  <c r="E39" i="2"/>
  <c r="E40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F14" i="2" s="1"/>
  <c r="D17" i="2"/>
  <c r="D18" i="2"/>
  <c r="F18" i="2" s="1"/>
  <c r="D21" i="2"/>
  <c r="F21" i="2" s="1"/>
  <c r="D24" i="2"/>
  <c r="F24" i="2" s="1"/>
  <c r="D27" i="2"/>
  <c r="F27" i="2" s="1"/>
  <c r="D30" i="2"/>
  <c r="F30" i="2" s="1"/>
  <c r="D33" i="2"/>
  <c r="F33" i="2" s="1"/>
  <c r="D36" i="2"/>
  <c r="D37" i="2"/>
  <c r="D38" i="2"/>
  <c r="D39" i="2"/>
  <c r="D40" i="2"/>
  <c r="F37" i="2" l="1"/>
  <c r="F7" i="2"/>
  <c r="F39" i="2"/>
  <c r="F5" i="2"/>
  <c r="F36" i="2"/>
  <c r="F3" i="2"/>
  <c r="F40" i="2"/>
  <c r="F6" i="2"/>
  <c r="F38" i="2"/>
  <c r="F4" i="2"/>
  <c r="F17" i="2"/>
  <c r="F2" i="2"/>
  <c r="K150" i="3"/>
  <c r="H149" i="3"/>
  <c r="G1153" i="3"/>
  <c r="H1152" i="3"/>
  <c r="K891" i="3"/>
  <c r="H890" i="3"/>
  <c r="K647" i="3"/>
  <c r="H646" i="3"/>
  <c r="K403" i="3"/>
  <c r="H402" i="3"/>
  <c r="K238" i="3"/>
  <c r="H238" i="3" s="1"/>
  <c r="G239" i="3"/>
  <c r="E1" i="2"/>
  <c r="D1" i="2"/>
  <c r="K151" i="3" l="1"/>
  <c r="H150" i="3"/>
  <c r="K404" i="3"/>
  <c r="H403" i="3"/>
  <c r="K648" i="3"/>
  <c r="H647" i="3"/>
  <c r="K892" i="3"/>
  <c r="H891" i="3"/>
  <c r="G1154" i="3"/>
  <c r="H1153" i="3"/>
  <c r="K239" i="3"/>
  <c r="H239" i="3" s="1"/>
  <c r="G240" i="3"/>
  <c r="F1" i="2"/>
  <c r="F41" i="2"/>
  <c r="K152" i="3" l="1"/>
  <c r="H151" i="3"/>
  <c r="G1155" i="3"/>
  <c r="H1154" i="3"/>
  <c r="K893" i="3"/>
  <c r="H892" i="3"/>
  <c r="K649" i="3"/>
  <c r="H648" i="3"/>
  <c r="K405" i="3"/>
  <c r="H404" i="3"/>
  <c r="G241" i="3"/>
  <c r="K240" i="3"/>
  <c r="H240" i="3" s="1"/>
  <c r="K153" i="3" l="1"/>
  <c r="H152" i="3"/>
  <c r="K406" i="3"/>
  <c r="H405" i="3"/>
  <c r="K650" i="3"/>
  <c r="H649" i="3"/>
  <c r="K894" i="3"/>
  <c r="H893" i="3"/>
  <c r="G1156" i="3"/>
  <c r="H1155" i="3"/>
  <c r="K241" i="3"/>
  <c r="H241" i="3" s="1"/>
  <c r="G242" i="3"/>
  <c r="K154" i="3" l="1"/>
  <c r="H153" i="3"/>
  <c r="G1157" i="3"/>
  <c r="H1156" i="3"/>
  <c r="K895" i="3"/>
  <c r="H894" i="3"/>
  <c r="K651" i="3"/>
  <c r="H650" i="3"/>
  <c r="K407" i="3"/>
  <c r="H406" i="3"/>
  <c r="K242" i="3"/>
  <c r="H242" i="3" s="1"/>
  <c r="G243" i="3"/>
  <c r="K155" i="3" l="1"/>
  <c r="H154" i="3"/>
  <c r="K408" i="3"/>
  <c r="H407" i="3"/>
  <c r="K652" i="3"/>
  <c r="H651" i="3"/>
  <c r="K896" i="3"/>
  <c r="H895" i="3"/>
  <c r="G1158" i="3"/>
  <c r="H1158" i="3" s="1"/>
  <c r="H1157" i="3"/>
  <c r="K243" i="3"/>
  <c r="H243" i="3" s="1"/>
  <c r="G244" i="3"/>
  <c r="K156" i="3" l="1"/>
  <c r="H155" i="3"/>
  <c r="K897" i="3"/>
  <c r="H896" i="3"/>
  <c r="K653" i="3"/>
  <c r="H652" i="3"/>
  <c r="K409" i="3"/>
  <c r="H408" i="3"/>
  <c r="K244" i="3"/>
  <c r="H244" i="3" s="1"/>
  <c r="G245" i="3"/>
  <c r="K157" i="3" l="1"/>
  <c r="H156" i="3"/>
  <c r="K410" i="3"/>
  <c r="H409" i="3"/>
  <c r="K654" i="3"/>
  <c r="H653" i="3"/>
  <c r="K898" i="3"/>
  <c r="H897" i="3"/>
  <c r="K245" i="3"/>
  <c r="H245" i="3" s="1"/>
  <c r="G246" i="3"/>
  <c r="K158" i="3" l="1"/>
  <c r="H157" i="3"/>
  <c r="K899" i="3"/>
  <c r="H898" i="3"/>
  <c r="K655" i="3"/>
  <c r="H654" i="3"/>
  <c r="K411" i="3"/>
  <c r="H410" i="3"/>
  <c r="G247" i="3"/>
  <c r="K246" i="3"/>
  <c r="H246" i="3" s="1"/>
  <c r="K159" i="3" l="1"/>
  <c r="H158" i="3"/>
  <c r="K412" i="3"/>
  <c r="H411" i="3"/>
  <c r="K656" i="3"/>
  <c r="H655" i="3"/>
  <c r="K900" i="3"/>
  <c r="H899" i="3"/>
  <c r="K247" i="3"/>
  <c r="H247" i="3" s="1"/>
  <c r="G248" i="3"/>
  <c r="K160" i="3" l="1"/>
  <c r="H159" i="3"/>
  <c r="K901" i="3"/>
  <c r="H900" i="3"/>
  <c r="K657" i="3"/>
  <c r="H656" i="3"/>
  <c r="K413" i="3"/>
  <c r="H412" i="3"/>
  <c r="K248" i="3"/>
  <c r="H248" i="3" s="1"/>
  <c r="G249" i="3"/>
  <c r="K161" i="3" l="1"/>
  <c r="H160" i="3"/>
  <c r="K414" i="3"/>
  <c r="H413" i="3"/>
  <c r="K658" i="3"/>
  <c r="H657" i="3"/>
  <c r="K902" i="3"/>
  <c r="H901" i="3"/>
  <c r="K249" i="3"/>
  <c r="H249" i="3" s="1"/>
  <c r="G250" i="3"/>
  <c r="K162" i="3" l="1"/>
  <c r="H161" i="3"/>
  <c r="K903" i="3"/>
  <c r="H902" i="3"/>
  <c r="K659" i="3"/>
  <c r="H658" i="3"/>
  <c r="K415" i="3"/>
  <c r="H414" i="3"/>
  <c r="K250" i="3"/>
  <c r="H250" i="3" s="1"/>
  <c r="G251" i="3"/>
  <c r="K904" i="3" l="1"/>
  <c r="H903" i="3"/>
  <c r="K163" i="3"/>
  <c r="H163" i="3" s="1"/>
  <c r="H162" i="3"/>
  <c r="K416" i="3"/>
  <c r="H415" i="3"/>
  <c r="K660" i="3"/>
  <c r="H659" i="3"/>
  <c r="K251" i="3"/>
  <c r="H251" i="3" s="1"/>
  <c r="G252" i="3"/>
  <c r="K417" i="3" l="1"/>
  <c r="H416" i="3"/>
  <c r="K661" i="3"/>
  <c r="H660" i="3"/>
  <c r="K905" i="3"/>
  <c r="H904" i="3"/>
  <c r="G253" i="3"/>
  <c r="K252" i="3"/>
  <c r="H252" i="3" s="1"/>
  <c r="K906" i="3" l="1"/>
  <c r="H905" i="3"/>
  <c r="K662" i="3"/>
  <c r="H661" i="3"/>
  <c r="K418" i="3"/>
  <c r="H417" i="3"/>
  <c r="K253" i="3"/>
  <c r="H253" i="3" s="1"/>
  <c r="G254" i="3"/>
  <c r="K419" i="3" l="1"/>
  <c r="H418" i="3"/>
  <c r="K663" i="3"/>
  <c r="H662" i="3"/>
  <c r="K907" i="3"/>
  <c r="H906" i="3"/>
  <c r="K254" i="3"/>
  <c r="H254" i="3" s="1"/>
  <c r="G255" i="3"/>
  <c r="K908" i="3" l="1"/>
  <c r="H907" i="3"/>
  <c r="K664" i="3"/>
  <c r="H663" i="3"/>
  <c r="K420" i="3"/>
  <c r="H419" i="3"/>
  <c r="K255" i="3"/>
  <c r="H255" i="3" s="1"/>
  <c r="G256" i="3"/>
  <c r="K421" i="3" l="1"/>
  <c r="H420" i="3"/>
  <c r="K665" i="3"/>
  <c r="H664" i="3"/>
  <c r="K909" i="3"/>
  <c r="H908" i="3"/>
  <c r="K256" i="3"/>
  <c r="H256" i="3" s="1"/>
  <c r="G257" i="3"/>
  <c r="K910" i="3" l="1"/>
  <c r="H909" i="3"/>
  <c r="K422" i="3"/>
  <c r="H421" i="3"/>
  <c r="K666" i="3"/>
  <c r="H665" i="3"/>
  <c r="K257" i="3"/>
  <c r="H257" i="3" s="1"/>
  <c r="G258" i="3"/>
  <c r="K911" i="3" l="1"/>
  <c r="H910" i="3"/>
  <c r="K667" i="3"/>
  <c r="H666" i="3"/>
  <c r="K423" i="3"/>
  <c r="H422" i="3"/>
  <c r="G259" i="3"/>
  <c r="K258" i="3"/>
  <c r="H258" i="3" s="1"/>
  <c r="K424" i="3" l="1"/>
  <c r="H423" i="3"/>
  <c r="K668" i="3"/>
  <c r="H667" i="3"/>
  <c r="K912" i="3"/>
  <c r="H911" i="3"/>
  <c r="K259" i="3"/>
  <c r="H259" i="3" s="1"/>
  <c r="G260" i="3"/>
  <c r="K913" i="3" l="1"/>
  <c r="H912" i="3"/>
  <c r="K669" i="3"/>
  <c r="H668" i="3"/>
  <c r="K425" i="3"/>
  <c r="H424" i="3"/>
  <c r="K260" i="3"/>
  <c r="H260" i="3" s="1"/>
  <c r="G261" i="3"/>
  <c r="K914" i="3" l="1"/>
  <c r="H913" i="3"/>
  <c r="K426" i="3"/>
  <c r="H425" i="3"/>
  <c r="K670" i="3"/>
  <c r="H669" i="3"/>
  <c r="K261" i="3"/>
  <c r="H261" i="3" s="1"/>
  <c r="G262" i="3"/>
  <c r="K671" i="3" l="1"/>
  <c r="H670" i="3"/>
  <c r="K427" i="3"/>
  <c r="H426" i="3"/>
  <c r="K915" i="3"/>
  <c r="H914" i="3"/>
  <c r="K262" i="3"/>
  <c r="H262" i="3" s="1"/>
  <c r="G263" i="3"/>
  <c r="K916" i="3" l="1"/>
  <c r="H915" i="3"/>
  <c r="K428" i="3"/>
  <c r="H427" i="3"/>
  <c r="K672" i="3"/>
  <c r="H671" i="3"/>
  <c r="K263" i="3"/>
  <c r="H263" i="3" s="1"/>
  <c r="G264" i="3"/>
  <c r="K673" i="3" l="1"/>
  <c r="H672" i="3"/>
  <c r="K429" i="3"/>
  <c r="H428" i="3"/>
  <c r="K917" i="3"/>
  <c r="H916" i="3"/>
  <c r="G265" i="3"/>
  <c r="K264" i="3"/>
  <c r="H264" i="3" s="1"/>
  <c r="K918" i="3" l="1"/>
  <c r="H917" i="3"/>
  <c r="K430" i="3"/>
  <c r="H429" i="3"/>
  <c r="K674" i="3"/>
  <c r="H673" i="3"/>
  <c r="K265" i="3"/>
  <c r="H265" i="3" s="1"/>
  <c r="G266" i="3"/>
  <c r="K675" i="3" l="1"/>
  <c r="H674" i="3"/>
  <c r="K431" i="3"/>
  <c r="H430" i="3"/>
  <c r="K919" i="3"/>
  <c r="H918" i="3"/>
  <c r="K266" i="3"/>
  <c r="H266" i="3" s="1"/>
  <c r="G267" i="3"/>
  <c r="K920" i="3" l="1"/>
  <c r="H919" i="3"/>
  <c r="K432" i="3"/>
  <c r="H431" i="3"/>
  <c r="K676" i="3"/>
  <c r="H675" i="3"/>
  <c r="K267" i="3"/>
  <c r="H267" i="3" s="1"/>
  <c r="G268" i="3"/>
  <c r="K677" i="3" l="1"/>
  <c r="H676" i="3"/>
  <c r="K433" i="3"/>
  <c r="H432" i="3"/>
  <c r="K921" i="3"/>
  <c r="H920" i="3"/>
  <c r="K268" i="3"/>
  <c r="H268" i="3" s="1"/>
  <c r="G269" i="3"/>
  <c r="K922" i="3" l="1"/>
  <c r="H921" i="3"/>
  <c r="K434" i="3"/>
  <c r="H433" i="3"/>
  <c r="K678" i="3"/>
  <c r="H677" i="3"/>
  <c r="K269" i="3"/>
  <c r="H269" i="3" s="1"/>
  <c r="G270" i="3"/>
  <c r="K679" i="3" l="1"/>
  <c r="H678" i="3"/>
  <c r="K435" i="3"/>
  <c r="H434" i="3"/>
  <c r="K923" i="3"/>
  <c r="H922" i="3"/>
  <c r="G271" i="3"/>
  <c r="K270" i="3"/>
  <c r="H270" i="3" s="1"/>
  <c r="K924" i="3" l="1"/>
  <c r="H923" i="3"/>
  <c r="K436" i="3"/>
  <c r="H435" i="3"/>
  <c r="K680" i="3"/>
  <c r="H679" i="3"/>
  <c r="K271" i="3"/>
  <c r="H271" i="3" s="1"/>
  <c r="G272" i="3"/>
  <c r="K681" i="3" l="1"/>
  <c r="H680" i="3"/>
  <c r="K437" i="3"/>
  <c r="H436" i="3"/>
  <c r="K925" i="3"/>
  <c r="H924" i="3"/>
  <c r="K272" i="3"/>
  <c r="H272" i="3" s="1"/>
  <c r="G273" i="3"/>
  <c r="K926" i="3" l="1"/>
  <c r="H926" i="3" s="1"/>
  <c r="H925" i="3"/>
  <c r="K438" i="3"/>
  <c r="H438" i="3" s="1"/>
  <c r="H437" i="3"/>
  <c r="K682" i="3"/>
  <c r="H682" i="3" s="1"/>
  <c r="H681" i="3"/>
  <c r="K273" i="3"/>
  <c r="H273" i="3" s="1"/>
  <c r="G274" i="3"/>
  <c r="K274" i="3" l="1"/>
  <c r="H274" i="3" s="1"/>
  <c r="G275" i="3"/>
  <c r="K275" i="3" l="1"/>
  <c r="H275" i="3" s="1"/>
  <c r="G276" i="3"/>
  <c r="G277" i="3" l="1"/>
  <c r="K276" i="3"/>
  <c r="H276" i="3" s="1"/>
  <c r="K277" i="3" l="1"/>
  <c r="H277" i="3" s="1"/>
  <c r="G278" i="3"/>
  <c r="K278" i="3" l="1"/>
  <c r="H278" i="3" s="1"/>
  <c r="G279" i="3"/>
  <c r="K279" i="3" l="1"/>
  <c r="H279" i="3" s="1"/>
  <c r="G280" i="3"/>
  <c r="K280" i="3" l="1"/>
  <c r="H280" i="3" s="1"/>
  <c r="G281" i="3"/>
  <c r="K281" i="3" l="1"/>
  <c r="H281" i="3" s="1"/>
  <c r="G282" i="3"/>
  <c r="G283" i="3" l="1"/>
  <c r="K282" i="3"/>
  <c r="H282" i="3" s="1"/>
  <c r="K283" i="3" l="1"/>
  <c r="H283" i="3" s="1"/>
  <c r="G284" i="3"/>
  <c r="K284" i="3" l="1"/>
  <c r="H284" i="3" s="1"/>
  <c r="G285" i="3"/>
  <c r="K285" i="3" l="1"/>
  <c r="H285" i="3" s="1"/>
  <c r="G286" i="3"/>
  <c r="K286" i="3" l="1"/>
  <c r="H286" i="3" s="1"/>
  <c r="G287" i="3"/>
  <c r="K287" i="3" l="1"/>
  <c r="H287" i="3" s="1"/>
  <c r="G288" i="3"/>
  <c r="K288" i="3" s="1"/>
  <c r="H28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tc={E63F6E56-29D7-466C-AABA-D18B13BFC101}</author>
  </authors>
  <commentList>
    <comment ref="M12" authorId="0" shapeId="0" xr:uid="{E63F6E56-29D7-466C-AABA-D18B13BFC101}">
      <text>
        <t>[Threaded comment]
Your version of Excel allows you to read this threaded comment; however, any edits to it will get removed if the file is opened in a newer version of Excel. Learn more: https://go.microsoft.com/fwlink/?linkid=870924
Comment:
    x=y</t>
      </text>
    </comment>
  </commentList>
</comments>
</file>

<file path=xl/sharedStrings.xml><?xml version="1.0" encoding="utf-8"?>
<sst xmlns="http://schemas.openxmlformats.org/spreadsheetml/2006/main" count="4727" uniqueCount="1330">
  <si>
    <t>1</t>
  </si>
  <si>
    <t>N</t>
  </si>
  <si>
    <t>Log</t>
  </si>
  <si>
    <t>参数值</t>
  </si>
  <si>
    <t>Bit 位</t>
  </si>
  <si>
    <t>数据类型</t>
  </si>
  <si>
    <t>Modbus地址</t>
  </si>
  <si>
    <t>英文描述</t>
  </si>
  <si>
    <t>描述</t>
  </si>
  <si>
    <t>序号</t>
  </si>
  <si>
    <t>V</t>
  </si>
  <si>
    <t>Hz</t>
  </si>
  <si>
    <t>Frequency</t>
  </si>
  <si>
    <t>频率</t>
  </si>
  <si>
    <t>Y</t>
  </si>
  <si>
    <t xml:space="preserve">var </t>
  </si>
  <si>
    <t>Total reactive power</t>
  </si>
  <si>
    <t>三相无功功率</t>
  </si>
  <si>
    <t>W</t>
  </si>
  <si>
    <t>Total active power</t>
  </si>
  <si>
    <t>三相有功功率</t>
  </si>
  <si>
    <t>VA</t>
  </si>
  <si>
    <t xml:space="preserve">Total apparent power </t>
  </si>
  <si>
    <t>三相视在功率</t>
  </si>
  <si>
    <t>C相无功功率</t>
  </si>
  <si>
    <t>B相无功功率</t>
  </si>
  <si>
    <t>A相无功功率</t>
  </si>
  <si>
    <t>C相有功功率</t>
  </si>
  <si>
    <t>B相有功功率</t>
  </si>
  <si>
    <t>A相有功功率</t>
  </si>
  <si>
    <t>C相视在功率</t>
  </si>
  <si>
    <t>B相视在功率</t>
  </si>
  <si>
    <t>A相视在功率</t>
  </si>
  <si>
    <t>A</t>
  </si>
  <si>
    <t>C相电流</t>
  </si>
  <si>
    <t>B相电流</t>
  </si>
  <si>
    <t>A相电流</t>
  </si>
  <si>
    <t>C相电压</t>
  </si>
  <si>
    <t>B相电压</t>
  </si>
  <si>
    <t>A相电压</t>
  </si>
  <si>
    <t>Unit</t>
  </si>
  <si>
    <t>Modbus地址
（DEC）</t>
  </si>
  <si>
    <t>说明：运行参数-以下数据永久记录（状态发生变化后记录，保留完整记录，中间相同状态过滤掉）</t>
  </si>
  <si>
    <t>数字变化产生日志</t>
    <phoneticPr fontId="0" type="noConversion"/>
  </si>
  <si>
    <t>Y，黄色</t>
  </si>
  <si>
    <t>M</t>
  </si>
  <si>
    <t>binary</t>
  </si>
  <si>
    <t>0</t>
  </si>
  <si>
    <t>0x0200</t>
  </si>
  <si>
    <t>Short-time mean value current</t>
  </si>
  <si>
    <t>电流短时间平均值报警返回</t>
  </si>
  <si>
    <t>电流短时间平均值报警</t>
  </si>
  <si>
    <t>电流短时间平均值告警</t>
  </si>
  <si>
    <t>0x0100</t>
  </si>
  <si>
    <t>Leading overload tripping alarm</t>
  </si>
  <si>
    <t>超前过载脱扣报警返回</t>
  </si>
  <si>
    <t>超前过载脱扣报警</t>
  </si>
  <si>
    <t>超前过载脱扣告警</t>
  </si>
  <si>
    <t xml:space="preserve"> 0x0040 </t>
  </si>
  <si>
    <t xml:space="preserve">Ground fault </t>
  </si>
  <si>
    <t>接地故障报警返回</t>
  </si>
  <si>
    <t>接地故障报警</t>
  </si>
  <si>
    <t>接地故障告警</t>
  </si>
  <si>
    <t xml:space="preserve"> 0x0010 </t>
  </si>
  <si>
    <t xml:space="preserve"> Phase unbalance current </t>
  </si>
  <si>
    <t>相电流不平衡报警返回</t>
  </si>
  <si>
    <t>相电流不平衡报警</t>
  </si>
  <si>
    <t>相电流不平衡告警</t>
  </si>
  <si>
    <t>Load pick up</t>
  </si>
  <si>
    <t>升负荷报警返回</t>
  </si>
  <si>
    <t>升负荷报警</t>
  </si>
  <si>
    <t>升负荷告警</t>
  </si>
  <si>
    <t>15</t>
  </si>
  <si>
    <t>Load shedding alarm</t>
  </si>
  <si>
    <t>甩负荷报警返回</t>
  </si>
  <si>
    <t>甩负荷报警</t>
  </si>
  <si>
    <t>甩负荷告警</t>
  </si>
  <si>
    <t>110</t>
  </si>
  <si>
    <t xml:space="preserve">Overload in neutral conductor </t>
  </si>
  <si>
    <t>中性线过载</t>
  </si>
  <si>
    <t>Y, 红色</t>
  </si>
  <si>
    <t>H</t>
  </si>
  <si>
    <t>101</t>
  </si>
  <si>
    <t xml:space="preserve">Tripping operation as a result of 
extended protection function </t>
  </si>
  <si>
    <t>扩展保护脱扣</t>
  </si>
  <si>
    <t>100</t>
  </si>
  <si>
    <t xml:space="preserve">Ground fault (G) </t>
  </si>
  <si>
    <t>接地故障脱扣</t>
  </si>
  <si>
    <t>011</t>
  </si>
  <si>
    <t xml:space="preserve">Short time-delayed short circuit (I) </t>
  </si>
  <si>
    <t>短路短延时脱扣</t>
  </si>
  <si>
    <t>010</t>
  </si>
  <si>
    <t xml:space="preserve">Instantaneous short circuit </t>
  </si>
  <si>
    <t>短路瞬时脱扣</t>
  </si>
  <si>
    <t>001</t>
  </si>
  <si>
    <t xml:space="preserve">Overload tripping (L) </t>
  </si>
  <si>
    <t>过载脱扣</t>
  </si>
  <si>
    <t>000</t>
  </si>
  <si>
    <t>No tripping operation or last tripping operation acknowledged</t>
  </si>
  <si>
    <t>未脱扣/脱扣已确认</t>
  </si>
  <si>
    <t>脱扣原因</t>
  </si>
  <si>
    <t>Y，蓝色</t>
  </si>
  <si>
    <t>L</t>
  </si>
  <si>
    <t>11</t>
  </si>
  <si>
    <t>Status of the free user output</t>
  </si>
  <si>
    <t>自定义开出返回</t>
  </si>
  <si>
    <t>自定义开出动作</t>
  </si>
  <si>
    <t>自定义开出状态</t>
  </si>
  <si>
    <t>0</t>
    <phoneticPr fontId="0" type="noConversion"/>
  </si>
  <si>
    <t>10</t>
  </si>
  <si>
    <t xml:space="preserve">Write protection disable deactivated, changes allowed </t>
  </si>
  <si>
    <t>写功能退出</t>
  </si>
  <si>
    <t>1</t>
    <phoneticPr fontId="0" type="noConversion"/>
  </si>
  <si>
    <t>写功能激活</t>
  </si>
  <si>
    <t>写保护功能投退</t>
  </si>
  <si>
    <t>9</t>
  </si>
  <si>
    <t xml:space="preserve"> An alarm signal is currently present</t>
  </si>
  <si>
    <t>报警返回</t>
  </si>
  <si>
    <t>报警产生</t>
  </si>
  <si>
    <t>8</t>
  </si>
  <si>
    <t xml:space="preserve"> An activated threshold has been exceeded </t>
  </si>
  <si>
    <t>预设定值超限返回</t>
  </si>
  <si>
    <t>预设定值超限</t>
  </si>
  <si>
    <t>7</t>
  </si>
  <si>
    <t xml:space="preserve">Overload warning present </t>
  </si>
  <si>
    <t>过载告警返回</t>
  </si>
  <si>
    <t>过载告警</t>
  </si>
  <si>
    <t>6</t>
  </si>
  <si>
    <t>Spring energy store is compressed</t>
  </si>
  <si>
    <t>弹簧未储能</t>
  </si>
  <si>
    <t>弹簧已储能</t>
  </si>
  <si>
    <t>弹簧储能</t>
  </si>
  <si>
    <t>L</t>
    <phoneticPr fontId="0" type="noConversion"/>
  </si>
  <si>
    <t>5</t>
  </si>
  <si>
    <t xml:space="preserve">Undervoltage release </t>
  </si>
  <si>
    <t>欠压线圈失电</t>
  </si>
  <si>
    <t>欠压线圈得电</t>
  </si>
  <si>
    <t>Log</t>
    <phoneticPr fontId="0" type="noConversion"/>
  </si>
  <si>
    <t>4</t>
  </si>
  <si>
    <t xml:space="preserve">Ready-to-close signal available </t>
  </si>
  <si>
    <t>合闸未准备就绪</t>
  </si>
  <si>
    <t>合闸准备就绪</t>
  </si>
  <si>
    <t>11</t>
    <phoneticPr fontId="0" type="noConversion"/>
  </si>
  <si>
    <t xml:space="preserve">Switch has tripped </t>
  </si>
  <si>
    <t>脱扣状态</t>
  </si>
  <si>
    <t>10</t>
    <phoneticPr fontId="0" type="noConversion"/>
  </si>
  <si>
    <t xml:space="preserve">ON </t>
  </si>
  <si>
    <t>合闸状态</t>
  </si>
  <si>
    <t>01</t>
    <phoneticPr fontId="0" type="noConversion"/>
  </si>
  <si>
    <t>OFF</t>
  </si>
  <si>
    <t>分闸状态</t>
  </si>
  <si>
    <t>00</t>
    <phoneticPr fontId="0" type="noConversion"/>
  </si>
  <si>
    <t xml:space="preserve"> Not ready</t>
  </si>
  <si>
    <t>未知状态</t>
  </si>
  <si>
    <t>断路器状态</t>
    <phoneticPr fontId="0" type="noConversion"/>
  </si>
  <si>
    <t xml:space="preserve"> Switch is not available </t>
  </si>
  <si>
    <t>未知位置</t>
  </si>
  <si>
    <t xml:space="preserve"> Test position</t>
  </si>
  <si>
    <t>测试位置</t>
  </si>
  <si>
    <t xml:space="preserve">Connected position </t>
  </si>
  <si>
    <t>操作位置</t>
  </si>
  <si>
    <t>信号是否告警，由用户选择</t>
  </si>
  <si>
    <t xml:space="preserve"> Disconnected position</t>
  </si>
  <si>
    <t>分离位置</t>
    <phoneticPr fontId="0" type="noConversion"/>
  </si>
  <si>
    <t>断路器位置</t>
    <phoneticPr fontId="0" type="noConversion"/>
  </si>
  <si>
    <t>备注</t>
    <phoneticPr fontId="0" type="noConversion"/>
  </si>
  <si>
    <t>告警规则</t>
    <phoneticPr fontId="0" type="noConversion"/>
  </si>
  <si>
    <t>是否记录
（用用户可以自定义），此处为default值</t>
  </si>
  <si>
    <t>告警点是否在地图中显示
（用户可以自定义），此处显示default值</t>
  </si>
  <si>
    <t>告警等级和日志（告警等级用户自由定义），此处显示为default值</t>
  </si>
  <si>
    <t>参数值</t>
    <phoneticPr fontId="0" type="noConversion"/>
  </si>
  <si>
    <t>界面显示
（用户可以自定义）此处为default值</t>
  </si>
  <si>
    <t>运行数据（2）</t>
  </si>
  <si>
    <t>实时</t>
  </si>
  <si>
    <t>3个离散值（正常状态、提示维修、警示抢修）</t>
  </si>
  <si>
    <t>健康状态</t>
  </si>
  <si>
    <t>0% ~100%</t>
  </si>
  <si>
    <t>剩余寿命</t>
  </si>
  <si>
    <t>数据从MindSphere
的API调取，APP中用仪表盘和数值显示</t>
  </si>
  <si>
    <t>触头磨损率</t>
  </si>
  <si>
    <t>永久</t>
    <phoneticPr fontId="0" type="noConversion"/>
  </si>
  <si>
    <t>十五分钟同步</t>
    <phoneticPr fontId="0" type="noConversion"/>
  </si>
  <si>
    <t>0~7</t>
  </si>
  <si>
    <t xml:space="preserve"> Prepare maintenance of the</t>
  </si>
  <si>
    <t>主触头需要维护</t>
  </si>
  <si>
    <t xml:space="preserve"> Perform immediate visual inspection</t>
  </si>
  <si>
    <t>主触头需要检查</t>
  </si>
  <si>
    <t>主触头需要检测</t>
  </si>
  <si>
    <t>No maintenance necessary</t>
  </si>
  <si>
    <t>主触头健康</t>
  </si>
  <si>
    <t>unsigned
 char</t>
  </si>
  <si>
    <t>8~15</t>
  </si>
  <si>
    <t>Temperature in circuit breaker 
(measured in the BSS)</t>
  </si>
  <si>
    <t>断路器室温度</t>
  </si>
  <si>
    <t>Temperature in the control 
cabinet (measured in the 
COM16)</t>
  </si>
  <si>
    <t>断路器控制隔室温度</t>
  </si>
  <si>
    <t>unsigned int</t>
  </si>
  <si>
    <t>Number of ground-fault 
tripping operations (G)</t>
  </si>
  <si>
    <t>接地故障动作次数</t>
  </si>
  <si>
    <t>Number of 
overload trips (L)</t>
  </si>
  <si>
    <t>过载保护动作次数</t>
  </si>
  <si>
    <t xml:space="preserve"> Number of short-circuit trips
(SI) </t>
  </si>
  <si>
    <t>短路速断动作次数</t>
  </si>
  <si>
    <t xml:space="preserve">Number of switching
operations caused by trips </t>
  </si>
  <si>
    <t>脱扣次数</t>
  </si>
  <si>
    <t>设置越限告警
（上限或下限），用户可以自由定义，此处为default值</t>
  </si>
  <si>
    <t>保留时间</t>
    <phoneticPr fontId="0" type="noConversion"/>
  </si>
  <si>
    <t>采样频率</t>
    <phoneticPr fontId="0" type="noConversion"/>
  </si>
  <si>
    <t>数据类型（集成标准格式，
用户可选择）</t>
  </si>
  <si>
    <t>Bit位</t>
  </si>
  <si>
    <t>中文描述</t>
  </si>
  <si>
    <t>运行数据（1）</t>
  </si>
  <si>
    <t>一小时</t>
    <phoneticPr fontId="0" type="noConversion"/>
  </si>
  <si>
    <t>unsigned long</t>
  </si>
  <si>
    <t>Reactive energy in reverse
direction（kWh）</t>
  </si>
  <si>
    <t>反向无功电度（kwh）</t>
  </si>
  <si>
    <t>Reactive energy in normal
direction（kWh）</t>
  </si>
  <si>
    <t>正向无功电度（kwh）</t>
  </si>
  <si>
    <t>Active energy in reverse
direction（kWh）</t>
  </si>
  <si>
    <t>反向有功电度（kwh）</t>
  </si>
  <si>
    <t>Active energy in normal
direction（kWh）</t>
  </si>
  <si>
    <t>正向有功电度（kwh）</t>
  </si>
  <si>
    <t>一天</t>
    <phoneticPr fontId="0" type="noConversion"/>
  </si>
  <si>
    <t xml:space="preserve">signed int </t>
  </si>
  <si>
    <t>Power factor in phase L3</t>
  </si>
  <si>
    <t>C相功率因数</t>
  </si>
  <si>
    <t>Power factor in phase L2</t>
  </si>
  <si>
    <t>B相功率因数</t>
  </si>
  <si>
    <t>Power factor in phase L1</t>
  </si>
  <si>
    <t>A相功率因数</t>
  </si>
  <si>
    <t>#.#</t>
  </si>
  <si>
    <t>Mean value of power factor</t>
  </si>
  <si>
    <t>三相功率因数</t>
  </si>
  <si>
    <t>Apparent power in phase L13</t>
  </si>
  <si>
    <t>Apparent power in phase L12</t>
  </si>
  <si>
    <t xml:space="preserve">Apparent power in phase L1 </t>
  </si>
  <si>
    <t xml:space="preserve">Reactive power in phase L1 </t>
  </si>
  <si>
    <t>Active power in phase L3</t>
  </si>
  <si>
    <t>Active power in phase L2</t>
  </si>
  <si>
    <t>Active power in phase L1</t>
  </si>
  <si>
    <t>Neutrual point voltage phase L3</t>
  </si>
  <si>
    <t>Neutrual point voltage phase L2</t>
  </si>
  <si>
    <t>Neutrual point voltage phase L1</t>
  </si>
  <si>
    <t xml:space="preserve">Phase-to-phase voltage between 
phase L3 and L1 </t>
  </si>
  <si>
    <r>
      <t>线电压U</t>
    </r>
    <r>
      <rPr>
        <vertAlign val="subscript"/>
        <sz val="11"/>
        <color theme="1"/>
        <rFont val="Calibri"/>
        <family val="2"/>
        <scheme val="minor"/>
      </rPr>
      <t>CA</t>
    </r>
  </si>
  <si>
    <t xml:space="preserve"> Phase-to-phase voltage between 
phase L2 and L3 </t>
  </si>
  <si>
    <r>
      <t>线电压U</t>
    </r>
    <r>
      <rPr>
        <vertAlign val="subscript"/>
        <sz val="11"/>
        <color theme="1"/>
        <rFont val="Calibri"/>
        <family val="2"/>
        <scheme val="minor"/>
      </rPr>
      <t>BC</t>
    </r>
  </si>
  <si>
    <t>Phase-to-phase voltage between 
phase L1 and L2</t>
  </si>
  <si>
    <r>
      <t>线电压U</t>
    </r>
    <r>
      <rPr>
        <vertAlign val="subscript"/>
        <sz val="11"/>
        <color theme="1"/>
        <rFont val="Calibri"/>
        <family val="2"/>
        <scheme val="minor"/>
      </rPr>
      <t>AB</t>
    </r>
  </si>
  <si>
    <t>Current in phase L3</t>
  </si>
  <si>
    <t>Current in phase L2</t>
  </si>
  <si>
    <t>Current in phase L1</t>
  </si>
  <si>
    <t>测量数据</t>
  </si>
  <si>
    <t>3WL数据点-modbus RTU</t>
  </si>
  <si>
    <t>3WL 采集数据点（一期）</t>
  </si>
  <si>
    <t>Bit长度</t>
  </si>
  <si>
    <t>2</t>
  </si>
  <si>
    <t>12</t>
  </si>
  <si>
    <t>3</t>
  </si>
  <si>
    <t>Device identification (read only)</t>
  </si>
  <si>
    <t>Date and time (read and write)</t>
  </si>
  <si>
    <t>Version information (read only)</t>
  </si>
  <si>
    <t>Device status (read only)</t>
  </si>
  <si>
    <t>Indications concerning limit violations (read only)</t>
  </si>
  <si>
    <t>Group indications (read only)</t>
  </si>
  <si>
    <t>PQ events (read only)</t>
  </si>
  <si>
    <t>Status of the binary outputs (read only)</t>
  </si>
  <si>
    <t>Messages of the communication (read and write)</t>
  </si>
  <si>
    <t>Measured values (read only), without 0281 to 0292</t>
  </si>
  <si>
    <t>Flicker (read only)</t>
  </si>
  <si>
    <t>Date/Time for last period PQ calculation for frequency
(fixed period = 10 s) (read only)</t>
  </si>
  <si>
    <t>Date/Time for last period PQ calculation (configurable) (read only)</t>
  </si>
  <si>
    <t>PQ Measured (read only)</t>
  </si>
  <si>
    <t>Energy counters (read only)</t>
  </si>
  <si>
    <t>Harmonics: voltage values (read only)</t>
  </si>
  <si>
    <t>Harmonics: current values (read only)</t>
  </si>
  <si>
    <t>PQ calculation for average harmonic voltage values (read only)</t>
  </si>
  <si>
    <t>PQ calculation for max. harmonic voltage values (read only)</t>
  </si>
  <si>
    <t xml:space="preserve"> PQ calculation for average harmonic current values (read only)</t>
  </si>
  <si>
    <t>PQ calculation for max. harmonic current values (read only)</t>
  </si>
  <si>
    <t>Last 10 dips (read only)</t>
  </si>
  <si>
    <t>Last 10 swells (read only)</t>
  </si>
  <si>
    <t>Last 10 interrupts (read only)</t>
  </si>
  <si>
    <t>Total number of PQ events (read only)</t>
  </si>
  <si>
    <t>Number of PQ events since last polling (read only)</t>
  </si>
  <si>
    <t>192.168.2.52</t>
  </si>
  <si>
    <t>PQ2</t>
  </si>
  <si>
    <t>PQ3</t>
  </si>
  <si>
    <t>HARM2</t>
  </si>
  <si>
    <t>HARM3</t>
  </si>
  <si>
    <t>HCUR2</t>
  </si>
  <si>
    <t>HCUR3</t>
  </si>
  <si>
    <t>PQHV2</t>
  </si>
  <si>
    <t>PQHV3</t>
  </si>
  <si>
    <t>PQMH2</t>
  </si>
  <si>
    <t>PHMH3</t>
  </si>
  <si>
    <t>PQAVH3</t>
  </si>
  <si>
    <t>PQAVH2</t>
  </si>
  <si>
    <t>PQMAXH2</t>
  </si>
  <si>
    <t>PQMAXH3</t>
  </si>
  <si>
    <t>Yellow color cell need special treatments!</t>
  </si>
  <si>
    <t>Latest 10 Voltage Interrupts</t>
  </si>
  <si>
    <t>Influenced phase</t>
  </si>
  <si>
    <t>-</t>
  </si>
  <si>
    <t>Latest 10 Dips</t>
  </si>
  <si>
    <t>V/%</t>
  </si>
  <si>
    <t>Pulse</t>
  </si>
  <si>
    <t>Apparent energy based on apparent power S</t>
  </si>
  <si>
    <t>Reserved</t>
  </si>
  <si>
    <t>Status of counters WS</t>
  </si>
  <si>
    <t>Status of counters WQa_inductive</t>
  </si>
  <si>
    <t>PulseQuantity</t>
  </si>
  <si>
    <t>var</t>
  </si>
  <si>
    <t>Time status/year</t>
  </si>
  <si>
    <t>Month/day</t>
  </si>
  <si>
    <t>Hours/minutes</t>
  </si>
  <si>
    <t>Milliseconds</t>
  </si>
  <si>
    <t>Long term flicker voltage Vc-a</t>
  </si>
  <si>
    <t>Reactive power ()_Fundamental</t>
  </si>
  <si>
    <t>Voltage a-N</t>
  </si>
  <si>
    <t>Reset Energy</t>
  </si>
  <si>
    <t>Reset PQ VoltUnbal Event</t>
  </si>
  <si>
    <t>Reset PQ Frequency Event</t>
  </si>
  <si>
    <t>Reset PQ Voltage Event</t>
  </si>
  <si>
    <t>Indication 2 from Remote</t>
  </si>
  <si>
    <t>Indication 1 from Remote</t>
  </si>
  <si>
    <t xml:space="preserve"> Indications of the Communication</t>
  </si>
  <si>
    <t>Binary Output B2</t>
  </si>
  <si>
    <t>Binary Output B1</t>
  </si>
  <si>
    <t>Status of the Binary Outputs</t>
  </si>
  <si>
    <t>PQ VoltUnbal event</t>
  </si>
  <si>
    <t>PQ Freq event</t>
  </si>
  <si>
    <t>PQ Volt event</t>
  </si>
  <si>
    <t>Power Quality Event</t>
  </si>
  <si>
    <t>Group Indications</t>
  </si>
  <si>
    <t>Direction of rotation</t>
  </si>
  <si>
    <t>Settings Activate</t>
  </si>
  <si>
    <t>Settings Check</t>
  </si>
  <si>
    <t>Settings Load</t>
  </si>
  <si>
    <t>SD card status</t>
  </si>
  <si>
    <t>Battery failure</t>
  </si>
  <si>
    <t>Device OK</t>
  </si>
  <si>
    <t>Parameter set version</t>
  </si>
  <si>
    <t>Firmware version</t>
  </si>
  <si>
    <t>Boot version</t>
  </si>
  <si>
    <t>The date and time</t>
  </si>
  <si>
    <t>Device serial number</t>
  </si>
  <si>
    <t xml:space="preserve"> Device name from the configuration</t>
  </si>
  <si>
    <t>Device ordering code</t>
  </si>
  <si>
    <t>Device type</t>
  </si>
  <si>
    <t>INT</t>
  </si>
  <si>
    <t>DOUBLE</t>
  </si>
  <si>
    <t>Flicker instantaneous value voltage Vc</t>
  </si>
  <si>
    <t>Flicker instantaneous value voltage Vb</t>
  </si>
  <si>
    <t>Flicker instantaneous value voltage Va</t>
  </si>
  <si>
    <t>Voltage c/ca THDS</t>
  </si>
  <si>
    <t>Voltage b/bc THDS</t>
  </si>
  <si>
    <t>Voltage a/ab THDS</t>
  </si>
  <si>
    <t>%</t>
  </si>
  <si>
    <t>Unbalanced current</t>
  </si>
  <si>
    <t>Unbalanced voltage</t>
  </si>
  <si>
    <t>Phase angle</t>
  </si>
  <si>
    <t>Phase angle c</t>
  </si>
  <si>
    <t>Phase angle b</t>
  </si>
  <si>
    <t>Phase angle a</t>
  </si>
  <si>
    <t>Angle Ia-Ic</t>
  </si>
  <si>
    <t>Angle Ia-Ib</t>
  </si>
  <si>
    <t>Angle Vab-Vca</t>
  </si>
  <si>
    <t>Angle Vab-Vbc</t>
  </si>
  <si>
    <t>Current c THDS</t>
  </si>
  <si>
    <t>Current b THDS</t>
  </si>
  <si>
    <t>Current a THDS</t>
  </si>
  <si>
    <t>Frequency calculated every 10 s (internal)</t>
  </si>
  <si>
    <t>Active power factor</t>
  </si>
  <si>
    <t>Active power factor c</t>
  </si>
  <si>
    <t>Active power factor b</t>
  </si>
  <si>
    <t>Active power factor a</t>
  </si>
  <si>
    <t>Power factor c</t>
  </si>
  <si>
    <t>Power factor b</t>
  </si>
  <si>
    <t>Power factor a</t>
  </si>
  <si>
    <t>Reactive power (C)_Fundamental</t>
  </si>
  <si>
    <t>Reactive power (B)_Fundamental</t>
  </si>
  <si>
    <t>Reactive power (A)_Fundamental</t>
  </si>
  <si>
    <t>Reactive power c</t>
  </si>
  <si>
    <t>Reactive power b</t>
  </si>
  <si>
    <t>Reactive power a</t>
  </si>
  <si>
    <t>Active power c</t>
  </si>
  <si>
    <t>Active power b</t>
  </si>
  <si>
    <t>Active power a</t>
  </si>
  <si>
    <t>Apparent power c</t>
  </si>
  <si>
    <t>Apparent power b</t>
  </si>
  <si>
    <t>Apparent power a</t>
  </si>
  <si>
    <t>Current c</t>
  </si>
  <si>
    <t>Current b</t>
  </si>
  <si>
    <t>Current a</t>
  </si>
  <si>
    <t>Voltage c-a</t>
  </si>
  <si>
    <t>Voltage b-c</t>
  </si>
  <si>
    <t>Voltage a-b</t>
  </si>
  <si>
    <t>BIT POS</t>
  </si>
  <si>
    <t>Number of PQ events since last polling</t>
  </si>
  <si>
    <t>Total number of PQ events</t>
  </si>
  <si>
    <t>Register 6001 to 6004</t>
  </si>
  <si>
    <t>Number of PQ Events</t>
  </si>
  <si>
    <t>s</t>
  </si>
  <si>
    <t>Voltage interrupt 10 time duration</t>
  </si>
  <si>
    <t>Voltage interrupt 10</t>
  </si>
  <si>
    <t>Voltage interrupt 9 time duration</t>
  </si>
  <si>
    <t>Voltage interrupt 9</t>
  </si>
  <si>
    <t>Voltage interrupt 8 time duration</t>
  </si>
  <si>
    <t>Voltage interrupt 8</t>
  </si>
  <si>
    <t>Voltage interrupt 7 time duration</t>
  </si>
  <si>
    <t>Voltage interrupt 7</t>
  </si>
  <si>
    <t>Voltage interrupt 6 time duration</t>
  </si>
  <si>
    <t>Voltage interrupt 6</t>
  </si>
  <si>
    <t>Voltage interrupt 5 time duration</t>
  </si>
  <si>
    <t>Voltage interrupt 5</t>
  </si>
  <si>
    <t>Voltage interrupt 4 time duration</t>
  </si>
  <si>
    <t>Voltage interrupt 4</t>
  </si>
  <si>
    <t>Voltage interrupt 3 time duration</t>
  </si>
  <si>
    <t>Voltage interrupt 3</t>
  </si>
  <si>
    <t>Voltage interrupt 2 time duration</t>
  </si>
  <si>
    <t>Voltage interrupt 2</t>
  </si>
  <si>
    <t>Voltage interrupt 1 time duration</t>
  </si>
  <si>
    <t>Voltage interrupt 1</t>
  </si>
  <si>
    <t>Register 5401 to 5499</t>
  </si>
  <si>
    <t>Voltage swell 10 time duration</t>
  </si>
  <si>
    <t>Voltage swell 10</t>
  </si>
  <si>
    <t>Voltage swell 9 time duration</t>
  </si>
  <si>
    <t>Voltage swell 9</t>
  </si>
  <si>
    <t>Voltage swell 8 time duration</t>
  </si>
  <si>
    <t>Voltage swell 8</t>
  </si>
  <si>
    <t>Voltage swell 7 time duration</t>
  </si>
  <si>
    <t>Voltage swell 7</t>
  </si>
  <si>
    <t>Voltage swell 6 time duration</t>
  </si>
  <si>
    <t>Voltage swell 6</t>
  </si>
  <si>
    <t>Voltage swell 5 time duration</t>
  </si>
  <si>
    <t>Voltage swell 5</t>
  </si>
  <si>
    <t>Voltage swell 4 time duration</t>
  </si>
  <si>
    <t>Voltage swell 4</t>
  </si>
  <si>
    <t>Voltage swell 3 time duration</t>
  </si>
  <si>
    <t>Voltage swell 3</t>
  </si>
  <si>
    <t>Voltage swell 2 time duration</t>
  </si>
  <si>
    <t>Voltage swell 2</t>
  </si>
  <si>
    <t>Voltage swell 1 time duration</t>
  </si>
  <si>
    <t>Voltage swell 1</t>
  </si>
  <si>
    <t>Register 5201 to 5299</t>
  </si>
  <si>
    <t>Latest 10 Swells</t>
  </si>
  <si>
    <t>Voltage dip 10 time duration</t>
  </si>
  <si>
    <t>Voltage dip 10</t>
  </si>
  <si>
    <t>Voltage dip 9 time duration</t>
  </si>
  <si>
    <t>Voltage dip 9</t>
  </si>
  <si>
    <t>Voltage dip 8 time duration</t>
  </si>
  <si>
    <t>Voltage dip 8</t>
  </si>
  <si>
    <t>Voltage dip 7 time duration</t>
  </si>
  <si>
    <t>Voltage dip 7</t>
  </si>
  <si>
    <t>Voltage dip 6 time duration</t>
  </si>
  <si>
    <t>Voltage dip 6</t>
  </si>
  <si>
    <t>Voltage dip 5 time duration</t>
  </si>
  <si>
    <t>Voltage dip 5</t>
  </si>
  <si>
    <t>Voltage dip 4 time duration</t>
  </si>
  <si>
    <t>Voltage dip 4</t>
  </si>
  <si>
    <t>Voltage dip 3 time duration</t>
  </si>
  <si>
    <t>Voltage dip 3</t>
  </si>
  <si>
    <t>Voltage dip 2 time duration</t>
  </si>
  <si>
    <t>Voltage dip 2</t>
  </si>
  <si>
    <t>Voltage dip 1 time duration</t>
  </si>
  <si>
    <t>Voltage dip 1</t>
  </si>
  <si>
    <t>Register 5001 to 5099</t>
  </si>
  <si>
    <t>40. Harmonic (maximum value), current value, c-N</t>
  </si>
  <si>
    <t>39. Harmonic (maximum value), current value, c-N</t>
  </si>
  <si>
    <t>38. Harmonic (maximum value), current value, c-N</t>
  </si>
  <si>
    <t>37. Harmonic (maximum value), current value, c-N</t>
  </si>
  <si>
    <t>36. Harmonic (maximum value), current value, c-N</t>
  </si>
  <si>
    <t>35. Harmonic (maximum value), current value, c-N</t>
  </si>
  <si>
    <t>34. Harmonic (maximum value), current value, c-N</t>
  </si>
  <si>
    <t>33. Harmonic (maximum value), current value, c-N</t>
  </si>
  <si>
    <t>32. Harmonic (maximum value), current value, c-N</t>
  </si>
  <si>
    <t>31. Harmonic (maximum value), current value, c-N</t>
  </si>
  <si>
    <t>30. Harmonic (maximum value), current value, c-N</t>
  </si>
  <si>
    <t>29. Harmonic (maximum value), current value, c-N</t>
  </si>
  <si>
    <t>28. Harmonic (maximum value), current value, c-N</t>
  </si>
  <si>
    <t>27. Harmonic (maximum value), current value, c-N</t>
  </si>
  <si>
    <t>26. Harmonic (maximum value), current value, c-N</t>
  </si>
  <si>
    <t>25. Harmonic (maximum value), current value, c-N</t>
  </si>
  <si>
    <t>24. Harmonic (maximum value), current value, c-N</t>
  </si>
  <si>
    <t>23. Harmonic (maximum value), current value, c-N</t>
  </si>
  <si>
    <t>22. Harmonic (maximum value), current value, c-N</t>
  </si>
  <si>
    <t>21. Harmonic (maximum value), current value, c-N</t>
  </si>
  <si>
    <t>20. Harmonic (maximum value), current value, c-N</t>
  </si>
  <si>
    <t>19. Harmonic (maximum value), current value, c-N</t>
  </si>
  <si>
    <t>18. Harmonic (maximum value), current value, c-N</t>
  </si>
  <si>
    <t>17. Harmonic (maximum value), current value, c-N</t>
  </si>
  <si>
    <t>16. Harmonic (maximum value), current value, c-N</t>
  </si>
  <si>
    <t>15. Harmonic (maximum value), current value, c-N</t>
  </si>
  <si>
    <t>14. Harmonic (maximum value), current value, c-N</t>
  </si>
  <si>
    <t>13. Harmonic (maximum value), current value, c-N</t>
  </si>
  <si>
    <t>12. Harmonic (maximum value), current value, c-N</t>
  </si>
  <si>
    <t>11. Harmonic (maximum value), current value, c-N</t>
  </si>
  <si>
    <t>10. Harmonic (maximum value), current value, c-N</t>
  </si>
  <si>
    <t>9. Harmonic (maximum value), current value, c-N</t>
  </si>
  <si>
    <t>8. Harmonic (maximum value), current value, c-N</t>
  </si>
  <si>
    <t>7. Harmonic (maximum value), current value, c-N</t>
  </si>
  <si>
    <t>6. Harmonic (maximum value), current value, c-N</t>
  </si>
  <si>
    <t>5. Harmonic (maximum value), current value, c-N</t>
  </si>
  <si>
    <t>4. Harmonic (maximum value), current value, c-N</t>
  </si>
  <si>
    <t>3. Harmonic (maximum value), current value, c-N</t>
  </si>
  <si>
    <t>2. Harmonic (maximum value), current value, c-N</t>
  </si>
  <si>
    <t>1. Harmonic (maximum value), current value, c-N
(Basic wave)</t>
  </si>
  <si>
    <t>40. Harmonic (maximum value), current value, b-N</t>
  </si>
  <si>
    <t>39. Harmonic (maximum value), current value, b-N</t>
  </si>
  <si>
    <t>38. Harmonic (maximum value), current value, b-N</t>
  </si>
  <si>
    <t>37. Harmonic (maximum value), current value, b-N</t>
  </si>
  <si>
    <t>36. Harmonic (maximum value), current value, b-N</t>
  </si>
  <si>
    <t>35. Harmonic (maximum value), current value, b-N</t>
  </si>
  <si>
    <t>34. Harmonic (maximum value), current value, b-N</t>
  </si>
  <si>
    <t>33. Harmonic (maximum value), current value, b-N</t>
  </si>
  <si>
    <t>32. Harmonic (maximum value), current value, b-N</t>
  </si>
  <si>
    <t>31. Harmonic (maximum value), current value, b-N</t>
  </si>
  <si>
    <t>30. Harmonic (maximum value), current value, b-N</t>
  </si>
  <si>
    <t>29. Harmonic (maximum value), current value, b-N</t>
  </si>
  <si>
    <t>28. Harmonic (maximum value), current value, b-N</t>
  </si>
  <si>
    <t>27. Harmonic (maximum value), current value, b-N</t>
  </si>
  <si>
    <t>26. Harmonic (maximum value), current value, b-N</t>
  </si>
  <si>
    <t>25. Harmonic (maximum value), current value, b-N</t>
  </si>
  <si>
    <t>24. Harmonic (maximum value), current value, b-N</t>
  </si>
  <si>
    <t>23. Harmonic (maximum value), current value, b-N</t>
  </si>
  <si>
    <t>22. Harmonic (maximum value), current value, b-N</t>
  </si>
  <si>
    <t>21. Harmonic (maximum value), current value, b-N</t>
  </si>
  <si>
    <t>20. Harmonic (maximum value), current value, b-N</t>
  </si>
  <si>
    <t>19. Harmonic (maximum value), current value, b-N</t>
  </si>
  <si>
    <t>18. Harmonic (maximum value), current value, b-N</t>
  </si>
  <si>
    <t>17. Harmonic (maximum value), current value, b-N</t>
  </si>
  <si>
    <t>16. Harmonic (maximum value), current value, b-N</t>
  </si>
  <si>
    <t>15. Harmonic (maximum value), current value, b-N</t>
  </si>
  <si>
    <t>14. Harmonic (maximum value), current value, b-N</t>
  </si>
  <si>
    <t>13. Harmonic (maximum value), current value, b-N</t>
  </si>
  <si>
    <t>12. Harmonic (maximum value), current value, b-N</t>
  </si>
  <si>
    <t>11. Harmonic (maximum value), current value, b-N</t>
  </si>
  <si>
    <t>10. Harmonic (maximum value), current value, b-N</t>
  </si>
  <si>
    <t>9. Harmonic (maximum value), current value, b-N</t>
  </si>
  <si>
    <t>8. Harmonic (maximum value), current value, b-N</t>
  </si>
  <si>
    <t>7. Harmonic (maximum value), current value, b-N</t>
  </si>
  <si>
    <t>6. Harmonic (maximum value), current value, b-N</t>
  </si>
  <si>
    <t>5. Harmonic (maximum value), current value, b-N</t>
  </si>
  <si>
    <t>4. Harmonic (maximum value), current value, b-N</t>
  </si>
  <si>
    <t>3. Harmonic (maximum value), current value, b-N</t>
  </si>
  <si>
    <t>2. Harmonic (maximum value), current value, b-N</t>
  </si>
  <si>
    <t>1. Harmonic (maximum value), current value, b-N
(Basic wave)</t>
  </si>
  <si>
    <t>40. Harmonic (maximum value), current value, a-N</t>
  </si>
  <si>
    <t>39. Harmonic (maximum value), current value, a-N</t>
  </si>
  <si>
    <t>38. Harmonic (maximum value), current value, a-N</t>
  </si>
  <si>
    <t>37. Harmonic (maximum value), current value, a-N</t>
  </si>
  <si>
    <t>36. Harmonic (maximum value), current value, a-N</t>
  </si>
  <si>
    <t>35. Harmonic (maximum value), current value, a-N</t>
  </si>
  <si>
    <t>34. Harmonic (maximum value), current value, a-N</t>
  </si>
  <si>
    <t>33. Harmonic (maximum value), current value, a-N</t>
  </si>
  <si>
    <t>32. Harmonic (maximum value), current value, a-N</t>
  </si>
  <si>
    <t>31. Harmonic (maximum value), current value, a-N</t>
  </si>
  <si>
    <t>30. Harmonic (maximum value), current value, a-N</t>
  </si>
  <si>
    <t>29. Harmonic (maximum value), current value, a-N</t>
  </si>
  <si>
    <t>28. Harmonic (maximum value), current value, a-N</t>
  </si>
  <si>
    <t>27. Harmonic (maximum value), current value, a-N</t>
  </si>
  <si>
    <t>26. Harmonic (maximum value), current value, a-N</t>
  </si>
  <si>
    <t>25. Harmonic (maximum value), current value, a-N</t>
  </si>
  <si>
    <t>24. Harmonic (maximum value), current value, a-N</t>
  </si>
  <si>
    <t>23. Harmonic (maximum value), current value, a-N</t>
  </si>
  <si>
    <t>22. Harmonic (maximum value), current value, a-N</t>
  </si>
  <si>
    <t>21. Harmonic (maximum value), current value, a-N</t>
  </si>
  <si>
    <t>20. Harmonic (maximum value), current value, a-N</t>
  </si>
  <si>
    <t>19. Harmonic (maximum value), current value, a-N</t>
  </si>
  <si>
    <t>18. Harmonic (maximum value), current value, a-N</t>
  </si>
  <si>
    <t>17. Harmonic (maximum value), current value, a-N</t>
  </si>
  <si>
    <t>16. Harmonic (maximum value), current value, a-N</t>
  </si>
  <si>
    <t>15. Harmonic (maximum value), current value, a-N</t>
  </si>
  <si>
    <t>14. Harmonic (maximum value), current value, a-N</t>
  </si>
  <si>
    <t>13. Harmonic (maximum value), current value, a-N</t>
  </si>
  <si>
    <t>12. Harmonic (maximum value), current value, a-N</t>
  </si>
  <si>
    <t>11. Harmonic (maximum value), current value, a-N</t>
  </si>
  <si>
    <t>10. Harmonic (maximum value), current value, a-N</t>
  </si>
  <si>
    <t>9. Harmonic (maximum value), current value, a-N</t>
  </si>
  <si>
    <t>8. Harmonic (maximum value), current value, a-N</t>
  </si>
  <si>
    <t>7. Harmonic (maximum value), current value, a-N</t>
  </si>
  <si>
    <t>6. Harmonic (maximum value), current value, a-N</t>
  </si>
  <si>
    <t>5. Harmonic (maximum value), current value, a-N</t>
  </si>
  <si>
    <t>4. Harmonic (maximum value), current value, a-N</t>
  </si>
  <si>
    <t>3. Harmonic (maximum value), current value, a-N</t>
  </si>
  <si>
    <t>2. Harmonic (maximum value), current value, a-N</t>
  </si>
  <si>
    <t>1. Harmonic (maximum value), current value, a-N(Basic wave)</t>
  </si>
  <si>
    <t>Registers 3001 to 3280</t>
  </si>
  <si>
    <t>PQ Calculation for Maximum Harmonic – Curren Values</t>
  </si>
  <si>
    <t>40. Harmonic (average value), current value, c-N</t>
  </si>
  <si>
    <t>39. Harmonic (average value), current value, c-N</t>
  </si>
  <si>
    <t>38. Harmonic (average value), current value, c-N</t>
  </si>
  <si>
    <t>37. Harmonic (average value), current value, c-N</t>
  </si>
  <si>
    <t>36. Harmonic (average value), current value, c-N</t>
  </si>
  <si>
    <t>35. Harmonic (average value), current value, c-N</t>
  </si>
  <si>
    <t>34. Harmonic (average value), current value, c-N</t>
  </si>
  <si>
    <t>33. Harmonic (average value), current value, c-N</t>
  </si>
  <si>
    <t>32. Harmonic (average value), current value, c-N</t>
  </si>
  <si>
    <t>31. Harmonic (average value), current value, c-N</t>
  </si>
  <si>
    <t>30. Harmonic (average value), current value, c-N</t>
  </si>
  <si>
    <t>29. Harmonic (average value), current value, c-N</t>
  </si>
  <si>
    <t>28. Harmonic (average value), current value, c-N</t>
  </si>
  <si>
    <t>27. Harmonic (average value), current value, c-N</t>
  </si>
  <si>
    <t>26. Harmonic (average value), current value, c-N</t>
  </si>
  <si>
    <t>25. Harmonic (average value), current value, c-N</t>
  </si>
  <si>
    <t>24. Harmonic (average value), current value, c-N</t>
  </si>
  <si>
    <t>23. Harmonic (average value), current value, c-N</t>
  </si>
  <si>
    <t>22. Harmonic (average value), current value, c-N</t>
  </si>
  <si>
    <t>21. Harmonic (average value), current value, c-N</t>
  </si>
  <si>
    <t>20. Harmonic (average value), current value, c-N</t>
  </si>
  <si>
    <t>19. Harmonic (average value), current value, c-N</t>
  </si>
  <si>
    <t>18. Harmonic (average value), current value, c-N</t>
  </si>
  <si>
    <t>17. Harmonic (average value), current value, c-N</t>
  </si>
  <si>
    <t>16. Harmonic (average value), current value, c-N</t>
  </si>
  <si>
    <t>15. Harmonic (average value), current value, c-N</t>
  </si>
  <si>
    <t>14. Harmonic (average value), current value, c-N</t>
  </si>
  <si>
    <t>13. Harmonic (average value), current value, c-N</t>
  </si>
  <si>
    <t>12. Harmonic (average value), current value, c-N</t>
  </si>
  <si>
    <t>11. Harmonic (average value), current value, c-N</t>
  </si>
  <si>
    <t>10. Harmonic (average value), current value, c-N</t>
  </si>
  <si>
    <t>9. Harmonic (average value), current value, c-N</t>
  </si>
  <si>
    <t>8. Harmonic (average value), current value, c-N</t>
  </si>
  <si>
    <t>7. Harmonic (average value), current value, c-N</t>
  </si>
  <si>
    <t>6. Harmonic (average value), current value, c-N</t>
  </si>
  <si>
    <t>5. Harmonic (average value), current value, c-N</t>
  </si>
  <si>
    <t>4. Harmonic (average value), current value, c-N</t>
  </si>
  <si>
    <t>3. Harmonic (average value), current value, c-N</t>
  </si>
  <si>
    <t>2. Harmonic (average value), current value, c-N</t>
  </si>
  <si>
    <t>1. Harmonic (average value), current value, c-N
(Basic wave)</t>
  </si>
  <si>
    <t>40. Harmonic (average value), current value, b-N</t>
  </si>
  <si>
    <t>39. Harmonic (average value), current value, b-N</t>
  </si>
  <si>
    <t>38. Harmonic (average value), current value, b-N</t>
  </si>
  <si>
    <t>37. Harmonic (average value), current value, b-N</t>
  </si>
  <si>
    <t>36. Harmonic (average value), current value, b-N</t>
  </si>
  <si>
    <t>35. Harmonic (average value), current value, b-N</t>
  </si>
  <si>
    <t>34. Harmonic (average value), current value, b-N</t>
  </si>
  <si>
    <t>33. Harmonic (average value), current value, b-N</t>
  </si>
  <si>
    <t>32. Harmonic (average value), current value, b-N</t>
  </si>
  <si>
    <t>31. Harmonic (average value), current value, b-N</t>
  </si>
  <si>
    <t>30. Harmonic (average value), current value, b-N</t>
  </si>
  <si>
    <t>29. Harmonic (average value), current value, b-N</t>
  </si>
  <si>
    <t>28. Harmonic (average value), current value, b-N</t>
  </si>
  <si>
    <t>27. Harmonic (average value), current value, b-N</t>
  </si>
  <si>
    <t>26. Harmonic (average value), current value, b-N</t>
  </si>
  <si>
    <t>25. Harmonic (average value), current value, b-N</t>
  </si>
  <si>
    <t>24. Harmonic (average value), current value, b-N</t>
  </si>
  <si>
    <t>23. Harmonic (average value), current value, b-N</t>
  </si>
  <si>
    <t>22. Harmonic (average value), current value, b-N</t>
  </si>
  <si>
    <t>21. Harmonic (average value), current value, b-N</t>
  </si>
  <si>
    <t>20. Harmonic (average value), current value, b-N</t>
  </si>
  <si>
    <t>19. Harmonic (average value), current value, b-N</t>
  </si>
  <si>
    <t>18. Harmonic (average value), current value, b-N</t>
  </si>
  <si>
    <t>17. Harmonic (average value), current value, b-N</t>
  </si>
  <si>
    <t>16. Harmonic (average value), current value, b-N</t>
  </si>
  <si>
    <t>15. Harmonic (average value), current value, b-N</t>
  </si>
  <si>
    <t>14. Harmonic (average value), current value, b-N</t>
  </si>
  <si>
    <t>13. Harmonic (average value), current value, b-N</t>
  </si>
  <si>
    <t>12. Harmonic (average value), current value, b-N</t>
  </si>
  <si>
    <t>11. Harmonic (average value), current value, b-N</t>
  </si>
  <si>
    <t>10. Harmonic (average value), current value, b-N</t>
  </si>
  <si>
    <t>9. Harmonic (average value), current value, b-N</t>
  </si>
  <si>
    <t>8. Harmonic (average value), current value, b-N</t>
  </si>
  <si>
    <t>7. Harmonic (average value), current value, b-N</t>
  </si>
  <si>
    <t>6. Harmonic (average value), current value, b-N</t>
  </si>
  <si>
    <t>5. Harmonic (average value), current value, b-N</t>
  </si>
  <si>
    <t>4. Harmonic (average value), current value, b-N</t>
  </si>
  <si>
    <t>3. Harmonic (average value), current value, b-N</t>
  </si>
  <si>
    <t>2. Harmonic (average value), current value, b-N</t>
  </si>
  <si>
    <t>1. Harmonic (average value), current value, b-N
(Basic wave)</t>
  </si>
  <si>
    <t>40. Harmonic (average value), current value, a-N</t>
  </si>
  <si>
    <t>39. Harmonic (average value), current value, a-N</t>
  </si>
  <si>
    <t>38. Harmonic (average value), current value, a-N</t>
  </si>
  <si>
    <t>37. Harmonic (average value), current value, a-N</t>
  </si>
  <si>
    <t>36. Harmonic (average value), current value, a-N</t>
  </si>
  <si>
    <t>35. Harmonic (average value), current value, a-N</t>
  </si>
  <si>
    <t>34. Harmonic (average value), current value, a-N</t>
  </si>
  <si>
    <t>33. Harmonic (average value), current value, a-N</t>
  </si>
  <si>
    <t>32. Harmonic (average value), current value, a-N</t>
  </si>
  <si>
    <t>31. Harmonic (average value), current value, a-N</t>
  </si>
  <si>
    <t>30. Harmonic (average value), current value, a-N</t>
  </si>
  <si>
    <t>29. Harmonic (average value), current value, a-N</t>
  </si>
  <si>
    <t>28. Harmonic (average value), current value, a-N</t>
  </si>
  <si>
    <t>27. Harmonic (average value), current value, a-N</t>
  </si>
  <si>
    <t>26. Harmonic (average value), current value, a-N</t>
  </si>
  <si>
    <t>25. Harmonic (average value), current value, a-N</t>
  </si>
  <si>
    <t>24. Harmonic (average value), current value, a-N</t>
  </si>
  <si>
    <t>23. Harmonic (average value), current value, a-N</t>
  </si>
  <si>
    <t>22. Harmonic (average value), current value, a-N</t>
  </si>
  <si>
    <t>21. Harmonic (average value), current value, a-N</t>
  </si>
  <si>
    <t>20. Harmonic (average value), current value, a-N</t>
  </si>
  <si>
    <t>19. Harmonic (average value), current value, a-N</t>
  </si>
  <si>
    <t>18. Harmonic (average value), current value, a-N</t>
  </si>
  <si>
    <t>17. Harmonic (average value), current value, a-N</t>
  </si>
  <si>
    <t>16. Harmonic (average value), current value, a-N</t>
  </si>
  <si>
    <t>15. Harmonic (average value), current value, a-N</t>
  </si>
  <si>
    <t>14. Harmonic (average value), current value, a-N</t>
  </si>
  <si>
    <t>13. Harmonic (average value), current value, a-N</t>
  </si>
  <si>
    <t>12. Harmonic (average value), current value, a-N</t>
  </si>
  <si>
    <t>11. Harmonic (average value), current value, a-N</t>
  </si>
  <si>
    <t>10. Harmonic (average value), current value, a-N</t>
  </si>
  <si>
    <t>9. Harmonic (average value), current value, a-N</t>
  </si>
  <si>
    <t>8. Harmonic (average value), current value, a-N</t>
  </si>
  <si>
    <t>7. Harmonic (average value), current value, a-N</t>
  </si>
  <si>
    <t>6. Harmonic (average value), current value, a-N</t>
  </si>
  <si>
    <t>5. Harmonic (average value), current value, a-N</t>
  </si>
  <si>
    <t>4. Harmonic (average value), current value, a-N</t>
  </si>
  <si>
    <t>3. Harmonic (average value), current value, a-N</t>
  </si>
  <si>
    <t>2. Harmonic (average value), current value, a-N</t>
  </si>
  <si>
    <t>1. Harmonic (average value), current value, a-N(Basic wave)</t>
  </si>
  <si>
    <t>Registers 2601 to 2880</t>
  </si>
  <si>
    <t>PQ Calculation for Average Harmonic – Current Values</t>
  </si>
  <si>
    <t>40. Harmonic (maximum value), voltage value, c-N, ca</t>
  </si>
  <si>
    <t>39. Harmonic (maximum value), voltage value, c-N, ca</t>
  </si>
  <si>
    <t>38. Harmonic (maximum value), voltage value, c-N, ca</t>
  </si>
  <si>
    <t>37. Harmonic (maximum value), voltage value, c-N, ca</t>
  </si>
  <si>
    <t>36. Harmonic (maximum value), voltage value, c-N, ca</t>
  </si>
  <si>
    <t>35. Harmonic (maximum value), voltage value, c-N, ca</t>
  </si>
  <si>
    <t>34. Harmonic (maximum value), voltage value, c-N, ca</t>
  </si>
  <si>
    <t>33. Harmonic (maximum value), voltage value, c-N, ca</t>
  </si>
  <si>
    <t>32. Harmonic (maximum value), voltage value, c-N, ca</t>
  </si>
  <si>
    <t>31. Harmonic (maximum value), voltage value, c-N, ca</t>
  </si>
  <si>
    <t>30. Harmonic (maximum value), voltage value, c-N, ca</t>
  </si>
  <si>
    <t>29. Harmonic (maximum value), voltage value, c-N, ca</t>
  </si>
  <si>
    <t>28. Harmonic (maximum value), voltage value, c-N, ca</t>
  </si>
  <si>
    <t>27. Harmonic (maximum value), voltage value, c-N, ca</t>
  </si>
  <si>
    <t>26. Harmonic (maximum value), voltage value, c-N, ca</t>
  </si>
  <si>
    <t>25. Harmonic (maximum value), voltage value, c-N, ca</t>
  </si>
  <si>
    <t>24. Harmonic (maximum value), voltage value, c-N, ca</t>
  </si>
  <si>
    <t>23. Harmonic (maximum value), voltage value, c-N, ca</t>
  </si>
  <si>
    <t>22. Harmonic (maximum value), voltage value, c-N, ca</t>
  </si>
  <si>
    <t>21. Harmonic (maximum value), voltage value, c-N, ca</t>
  </si>
  <si>
    <t>20. Harmonic (maximum value), voltage value, c-N, ca</t>
  </si>
  <si>
    <t>19. Harmonic (maximum value), voltage value, c-N, ca</t>
  </si>
  <si>
    <t>18. Harmonic (maximum value), voltage value, c-N, ca</t>
  </si>
  <si>
    <t>17. Harmonic (maximum value), voltage value, c-N, ca</t>
  </si>
  <si>
    <t>16. Harmonic (maximum value), voltage value, c-N, ca</t>
  </si>
  <si>
    <t>15. Harmonic (maximum value), voltage value, c-N, ca</t>
  </si>
  <si>
    <t>14. Harmonic (maximum value), voltage value, c-N, ca</t>
  </si>
  <si>
    <t>13. Harmonic (maximum value), voltage value, c-N, ca</t>
  </si>
  <si>
    <t>12. Harmonic (maximum value), voltage value, c-N, ca</t>
  </si>
  <si>
    <t>11. Harmonic (maximum value), voltage value, c-N, ca</t>
  </si>
  <si>
    <t>10. Harmonic (maximum value), voltage value, c-N, ca</t>
  </si>
  <si>
    <t>9. Harmonic (maximum value), voltage value, c-N, ca</t>
  </si>
  <si>
    <t>8. Harmonic (maximum value), voltage value, c-N, ca</t>
  </si>
  <si>
    <t>7. Harmonic (maximum value), voltage value, c-N, ca</t>
  </si>
  <si>
    <t>6. Harmonic (maximum value), voltage value, c-N, ca</t>
  </si>
  <si>
    <t>5. Harmonic (maximum value), voltage value, c-N, ca</t>
  </si>
  <si>
    <t>4. Harmonic (maximum value), voltage value, c-N, ca</t>
  </si>
  <si>
    <t>3. Harmonic (maximum value), voltage value, c-N, ca</t>
  </si>
  <si>
    <t>2. Harmonic (maximum value), voltage value, c-N, ca</t>
  </si>
  <si>
    <t>1. Harmonic (maximum value), voltage value, c-N, ca(Basic wave)</t>
  </si>
  <si>
    <t>40. Harmonic (maximum value), voltage value, b-N, bc</t>
  </si>
  <si>
    <t>39. Harmonic (maximum value), voltage value, b-N, bc</t>
  </si>
  <si>
    <t>38. Harmonic (maximum value), voltage value, b-N, bc</t>
  </si>
  <si>
    <t>37. Harmonic (maximum value), voltage value, b-N, bc</t>
  </si>
  <si>
    <t>36. Harmonic (maximum value), voltage value, b-N, bc</t>
  </si>
  <si>
    <t>35. Harmonic (maximum value), voltage value, b-N, bc</t>
  </si>
  <si>
    <t>34. Harmonic (maximum value), voltage value, b-N, bc</t>
  </si>
  <si>
    <t>33. Harmonic (maximum value), voltage value, b-N, bc</t>
  </si>
  <si>
    <t>32. Harmonic (maximum value), voltage value, b-N, bc</t>
  </si>
  <si>
    <t>31. Harmonic (maximum value), voltage value, b-N, bc</t>
  </si>
  <si>
    <t>30. Harmonic (maximum value), voltage value, b-N, bc</t>
  </si>
  <si>
    <t>29. Harmonic (maximum value), voltage value, b-N, bc</t>
  </si>
  <si>
    <t>28. Harmonic (maximum value), voltage value, b-N, bc</t>
  </si>
  <si>
    <t>27. Harmonic (maximum value), voltage value, b-N, bc</t>
  </si>
  <si>
    <t>26. Harmonic (maximum value), voltage value, b-N, bc</t>
  </si>
  <si>
    <t>25. Harmonic (maximum value), voltage value, b-N, bc</t>
  </si>
  <si>
    <t>24. Harmonic (maximum value), voltage value, b-N, bc</t>
  </si>
  <si>
    <t>23. Harmonic (maximum value), voltage value, b-N, bc</t>
  </si>
  <si>
    <t>22. Harmonic (maximum value), voltage value, b-N, bc</t>
  </si>
  <si>
    <t>21. Harmonic (maximum value), voltage value, b-N, bc</t>
  </si>
  <si>
    <t>20. Harmonic (maximum value), voltage value, b-N, bc</t>
  </si>
  <si>
    <t>19. Harmonic (maximum value), voltage value, b-N, bc</t>
  </si>
  <si>
    <t>18. Harmonic (maximum value), voltage value, b-N, bc</t>
  </si>
  <si>
    <t>17. Harmonic (maximum value), voltage value, b-N, bc</t>
  </si>
  <si>
    <t>16. Harmonic (maximum value), voltage value, b-N, bc</t>
  </si>
  <si>
    <t>15. Harmonic (maximum value), voltage value, b-N, bc</t>
  </si>
  <si>
    <t>14. Harmonic (maximum value), voltage value, b-N, bc</t>
  </si>
  <si>
    <t>13. Harmonic (maximum value), voltage value, b-N, bc</t>
  </si>
  <si>
    <t>12. Harmonic (maximum value), voltage value, b-N, bc</t>
  </si>
  <si>
    <t>11. Harmonic (maximum value), voltage value, b-N, bc</t>
  </si>
  <si>
    <t>10. Harmonic (maximum value), voltage value, b-N, bc</t>
  </si>
  <si>
    <t>9. Harmonic (maximum value), voltage value, b-N, bc</t>
  </si>
  <si>
    <t>8. Harmonic (maximum value), voltage value, b-N, bc</t>
  </si>
  <si>
    <t>7. Harmonic (maximum value), voltage value, b-N, bc</t>
  </si>
  <si>
    <t>6. Harmonic (maximum value), voltage value, b-N, bc</t>
  </si>
  <si>
    <t>5. Harmonic (maximum value), voltage value, b-N, bc</t>
  </si>
  <si>
    <t>4. Harmonic (maximum value), voltage value, b-N, bc</t>
  </si>
  <si>
    <t>3. Harmonic (maximum value), voltage value, b-N, bc</t>
  </si>
  <si>
    <t>2. Harmonic (maximum value), voltage value, b-N, bc</t>
  </si>
  <si>
    <t>1. Harmonic (maximum value), voltage value, b-N, bc(Basic wave)</t>
  </si>
  <si>
    <t>40. Harmonic (maximum value), voltage value, a-N, ab</t>
  </si>
  <si>
    <t>39. Harmonic (maximum value), voltage value, a-N, ab</t>
  </si>
  <si>
    <t>38. Harmonic (maximum value), voltage value, a-N, ab</t>
  </si>
  <si>
    <t>37. Harmonic (maximum value), voltage value, a-N, ab</t>
  </si>
  <si>
    <t>36. Harmonic (maximum value), voltage value, a-N, ab</t>
  </si>
  <si>
    <t>35. Harmonic (maximum value), voltage value, a-N, ab</t>
  </si>
  <si>
    <t>34. Harmonic (maximum value), voltage value, a-N, ab</t>
  </si>
  <si>
    <t>33. Harmonic (maximum value), voltage value, a-N, ab</t>
  </si>
  <si>
    <t>32. Harmonic (maximum value), voltage value, a-N, ab</t>
  </si>
  <si>
    <t>31. Harmonic (maximum value), voltage value, a-N, ab</t>
  </si>
  <si>
    <t>30. Harmonic (maximum value), voltage value, a-N, ab</t>
  </si>
  <si>
    <t>29. Harmonic (maximum value), voltage value, a-N, ab</t>
  </si>
  <si>
    <t>28. Harmonic (maximum value), voltage value, a-N, ab</t>
  </si>
  <si>
    <t>27. Harmonic (maximum value), voltage value, a-N, ab</t>
  </si>
  <si>
    <t>26. Harmonic (maximum value), voltage value, a-N, ab</t>
  </si>
  <si>
    <t>25. Harmonic (maximum value), voltage value, a-N, ab</t>
  </si>
  <si>
    <t>24. Harmonic (maximum value), voltage value, a-N, ab</t>
  </si>
  <si>
    <t>23. Harmonic (maximum value), voltage value, a-N, ab</t>
  </si>
  <si>
    <t>22. Harmonic (maximum value), voltage value, a-N, ab</t>
  </si>
  <si>
    <t>21. Harmonic (maximum value), voltage value, a-N, ab</t>
  </si>
  <si>
    <t>20. Harmonic (maximum value), voltage value, a-N, ab</t>
  </si>
  <si>
    <t>19. Harmonic (maximum value), voltage value, a-N, ab</t>
  </si>
  <si>
    <t>18. Harmonic (maximum value), voltage value, a-N, ab</t>
  </si>
  <si>
    <t>17. Harmonic (maximum value), voltage value, a-N, ab</t>
  </si>
  <si>
    <t>16. Harmonic (maximum value), voltage value, a-N, ab</t>
  </si>
  <si>
    <t>15. Harmonic (maximum value), voltage value, a-N, ab</t>
  </si>
  <si>
    <t>14. Harmonic (maximum value), voltage value, a-N, ab</t>
  </si>
  <si>
    <t>13. Harmonic (maximum value), voltage value, a-N, ab</t>
  </si>
  <si>
    <t>12. Harmonic (maximum value), voltage value, a-N, ab</t>
  </si>
  <si>
    <t>11. Harmonic (maximum value), voltage value, a-N, ab</t>
  </si>
  <si>
    <t>10. Harmonic (maximum value), voltage value, a-N, ab</t>
  </si>
  <si>
    <t>9. Harmonic (maximum value), voltage value, a-N, ab</t>
  </si>
  <si>
    <t>8. Harmonic (maximum value), voltage value, a-N, ab</t>
  </si>
  <si>
    <t>7. Harmonic (maximum value), voltage value, a-N, ab</t>
  </si>
  <si>
    <t>6. Harmonic (maximum value), voltage value, a-N, ab</t>
  </si>
  <si>
    <t>5. Harmonic (maximum value), voltage value, a-N, ab</t>
  </si>
  <si>
    <t>4. Harmonic (maximum value), voltage value, a-N, ab</t>
  </si>
  <si>
    <t>3. Harmonic (maximum value), voltage value, a-N, ab</t>
  </si>
  <si>
    <t>2. Harmonic (maximum value), voltage value, a-N, ab</t>
  </si>
  <si>
    <t>1. Harmonic (maximum value), voltage value, a-N, ab(Basic wave)</t>
  </si>
  <si>
    <t>Registers 2201 to 2480</t>
  </si>
  <si>
    <t>40. Harmonic (average value), voltage value, c-N, ca</t>
  </si>
  <si>
    <t>39. Harmonic (average value), voltage value, c-N, ca</t>
  </si>
  <si>
    <t>38. Harmonic (average value), voltage value, c-N, ca</t>
  </si>
  <si>
    <t>37. Harmonic (average value), voltage value, c-N, ca</t>
  </si>
  <si>
    <t>36. Harmonic (average value), voltage value, c-N, ca</t>
  </si>
  <si>
    <t>35. Harmonic (average value), voltage value, c-N, ca</t>
  </si>
  <si>
    <t>34. Harmonic (average value), voltage value, c-N, ca</t>
  </si>
  <si>
    <t>33. Harmonic (average value), voltage value, c-N, ca</t>
  </si>
  <si>
    <t>32. Harmonic (average value), voltage value, c-N, ca</t>
  </si>
  <si>
    <t>31. Harmonic (average value), voltage value, c-N, ca</t>
  </si>
  <si>
    <t>30. Harmonic (average value), voltage value, c-N, ca</t>
  </si>
  <si>
    <t>29. Harmonic (average value), voltage value, c-N, ca</t>
  </si>
  <si>
    <t>28. Harmonic (average value), voltage value, c-N, ca</t>
  </si>
  <si>
    <t>27. Harmonic (average value), voltage value, c-N, ca</t>
  </si>
  <si>
    <t>26. Harmonic (average value), voltage value, c-N, ca</t>
  </si>
  <si>
    <t>25. Harmonic (average value), voltage value, c-N, ca</t>
  </si>
  <si>
    <t>24. Harmonic (average value), voltage value, c-N, ca</t>
  </si>
  <si>
    <t>23. Harmonic (average value), voltage value, c-N, ca</t>
  </si>
  <si>
    <t>22. Harmonic (average value), voltage value, c-N, ca</t>
  </si>
  <si>
    <t>21. Harmonic (average value), voltage value, c-N, ca</t>
  </si>
  <si>
    <t>20. Harmonic (average value), voltage value, c-N, ca</t>
  </si>
  <si>
    <t>19. Harmonic (average value), voltage value, c-N, ca</t>
  </si>
  <si>
    <t>18. Harmonic (average value), voltage value, c-N, ca</t>
  </si>
  <si>
    <t>17. Harmonic (average value), voltage value, c-N, ca</t>
  </si>
  <si>
    <t>16. Harmonic (average value), voltage value, c-N, ca</t>
  </si>
  <si>
    <t>15. Harmonic (average value), voltage value, c-N, ca</t>
  </si>
  <si>
    <t>14. Harmonic (average value), voltage value, c-N, ca</t>
  </si>
  <si>
    <t>13. Harmonic (average value), voltage value, c-N, ca</t>
  </si>
  <si>
    <t>12. Harmonic (average value), voltage value, c-N, ca</t>
  </si>
  <si>
    <t>11. Harmonic (average value), voltage value, c-N, ca</t>
  </si>
  <si>
    <t>10. Harmonic (average value), voltage value, c-N, ca</t>
  </si>
  <si>
    <t>9. Harmonic (average value), voltage value, c-N, ca</t>
  </si>
  <si>
    <t>8. Harmonic (average value), voltage value, c-N, ca</t>
  </si>
  <si>
    <t>7. Harmonic (average value), voltage value, c-N, ca</t>
  </si>
  <si>
    <t>6. Harmonic (average value), voltage value, c-N, ca</t>
  </si>
  <si>
    <t>5. Harmonic (average value), voltage value, c-N, ca</t>
  </si>
  <si>
    <t>4. Harmonic (average value), voltage value, c-N, ca</t>
  </si>
  <si>
    <t>3. Harmonic (average value), voltage value, c-N, ca</t>
  </si>
  <si>
    <t>2. Harmonic (average value), voltage value, c-N, ca</t>
  </si>
  <si>
    <t>1. Harmonic (average value), voltage value, c-N, ca
(Basic wave)</t>
  </si>
  <si>
    <t>40. Harmonic (average value), voltage value, b-N, bc</t>
  </si>
  <si>
    <t>39. Harmonic (average value), voltage value, b-N, bc</t>
  </si>
  <si>
    <t>38. Harmonic (average value), voltage value, b-N, bc</t>
  </si>
  <si>
    <t>37. Harmonic (average value), voltage value, b-N, bc</t>
  </si>
  <si>
    <t>36. Harmonic (average value), voltage value, b-N, bc</t>
  </si>
  <si>
    <t>35. Harmonic (average value), voltage value, b-N, bc</t>
  </si>
  <si>
    <t>34. Harmonic (average value), voltage value, b-N, bc</t>
  </si>
  <si>
    <t>33. Harmonic (average value), voltage value, b-N, bc</t>
  </si>
  <si>
    <t>32. Harmonic (average value), voltage value, b-N, bc</t>
  </si>
  <si>
    <t>31. Harmonic (average value), voltage value, b-N, bc</t>
  </si>
  <si>
    <t>30. Harmonic (average value), voltage value, b-N, bc</t>
  </si>
  <si>
    <t>29. Harmonic (average value), voltage value, b-N, bc</t>
  </si>
  <si>
    <t>28. Harmonic (average value), voltage value, b-N, bc</t>
  </si>
  <si>
    <t>27. Harmonic (average value), voltage value, b-N, bc</t>
  </si>
  <si>
    <t>26. Harmonic (average value), voltage value, b-N, bc</t>
  </si>
  <si>
    <t>25. Harmonic (average value), voltage value, b-N, bc</t>
  </si>
  <si>
    <t>24. Harmonic (average value), voltage value, b-N, bc</t>
  </si>
  <si>
    <t>23. Harmonic (average value), voltage value, b-N, bc</t>
  </si>
  <si>
    <t>22. Harmonic (average value), voltage value, b-N, bc</t>
  </si>
  <si>
    <t>21. Harmonic (average value), voltage value, b-N, bc</t>
  </si>
  <si>
    <t>20. Harmonic (average value), voltage value, b-N, bc</t>
  </si>
  <si>
    <t>19. Harmonic (average value), voltage value, b-N, bc</t>
  </si>
  <si>
    <t>18. Harmonic (average value), voltage value, b-N, bc</t>
  </si>
  <si>
    <t>17. Harmonic (average value), voltage value, b-N, bc</t>
  </si>
  <si>
    <t>16. Harmonic (average value), voltage value, b-N, bc</t>
  </si>
  <si>
    <t>15. Harmonic (average value), voltage value, b-N, bc</t>
  </si>
  <si>
    <t>14. Harmonic (average value), voltage value, b-N, bc</t>
  </si>
  <si>
    <t>13. Harmonic (average value), voltage value, b-N, bc</t>
  </si>
  <si>
    <t>12. Harmonic (average value), voltage value, b-N, bc</t>
  </si>
  <si>
    <t>11. Harmonic (average value), voltage value, b-N, bc</t>
  </si>
  <si>
    <t>10. Harmonic (average value), voltage value, b-N, bc</t>
  </si>
  <si>
    <t>9. Harmonic (average value), voltage value, b-N, bc</t>
  </si>
  <si>
    <t>8. Harmonic (average value), voltage value, b-N, bc</t>
  </si>
  <si>
    <t>7. Harmonic (average value), voltage value, b-N, bc</t>
  </si>
  <si>
    <t>6. Harmonic (average value), voltage value, b-N, bc</t>
  </si>
  <si>
    <t>5. Harmonic (average value), voltage value, b-N, bc</t>
  </si>
  <si>
    <t>4. Harmonic (average value), voltage value, b-N, bc</t>
  </si>
  <si>
    <t>3. Harmonic (average value), voltage value, b-N, bc</t>
  </si>
  <si>
    <t>2. Harmonic (average value), voltage value, b-N, bc</t>
  </si>
  <si>
    <t>1. Harmonic (average value), voltage value, b-N, bc(Basic wave)</t>
  </si>
  <si>
    <t>40. Harmonic (average value), voltage value, a-N, ab</t>
  </si>
  <si>
    <t>39. Harmonic (average value), voltage value, a-N, ab</t>
  </si>
  <si>
    <t>38. Harmonic (average value), voltage value, a-N, ab</t>
  </si>
  <si>
    <t>37. Harmonic (average value), voltage value, a-N, ab</t>
  </si>
  <si>
    <t>36. Harmonic (average value), voltage value, a-N, ab</t>
  </si>
  <si>
    <t>35. Harmonic (average value), voltage value, a-N, ab</t>
  </si>
  <si>
    <t>34. Harmonic (average value), voltage value, a-N, ab</t>
  </si>
  <si>
    <t>33. Harmonic (average value), voltage value, a-N, ab</t>
  </si>
  <si>
    <t>32. Harmonic (average value), voltage value, a-N, ab</t>
  </si>
  <si>
    <t>31. Harmonic (average value), voltage value, a-N, ab</t>
  </si>
  <si>
    <t>30. Harmonic (average value), voltage value, a-N, ab</t>
  </si>
  <si>
    <t>29. Harmonic (average value), voltage value, a-N, ab</t>
  </si>
  <si>
    <t>28. Harmonic (average value), voltage value, a-N, ab</t>
  </si>
  <si>
    <t>27. Harmonic (average value), voltage value, a-N, ab</t>
  </si>
  <si>
    <t>26. Harmonic (average value), voltage value, a-N, ab</t>
  </si>
  <si>
    <t>25. Harmonic (average value), voltage value, a-N, ab</t>
  </si>
  <si>
    <t>24. Harmonic (average value), voltage value, a-N, ab</t>
  </si>
  <si>
    <t>23. Harmonic (average value), voltage value, a-N, ab</t>
  </si>
  <si>
    <t>22. Harmonic (average value), voltage value, a-N, ab</t>
  </si>
  <si>
    <t>21. Harmonic (average value), voltage value, a-N, ab</t>
  </si>
  <si>
    <t>20. Harmonic (average value), voltage value, a-N, ab</t>
  </si>
  <si>
    <t>19. Harmonic (average value), voltage value, a-N, ab</t>
  </si>
  <si>
    <t>18. Harmonic (average value), voltage value, a-N, ab</t>
  </si>
  <si>
    <t>17. Harmonic (average value), voltage value, a-N, ab</t>
  </si>
  <si>
    <t>16. Harmonic (average value), voltage value, a-N, ab</t>
  </si>
  <si>
    <t>15. Harmonic (average value), voltage value, a-N, ab</t>
  </si>
  <si>
    <t>14. Harmonic (average value), voltage value, a-N, ab</t>
  </si>
  <si>
    <t>13. Harmonic (average value), voltage value, a-N, ab</t>
  </si>
  <si>
    <t>12. Harmonic (average value), voltage value, a-N, ab</t>
  </si>
  <si>
    <t>11. Harmonic (average value), voltage value, a-N, ab</t>
  </si>
  <si>
    <t>10. Harmonic (average value), voltage value, a-N, ab</t>
  </si>
  <si>
    <t>9. Harmonic (average value), voltage value, a-N, ab</t>
  </si>
  <si>
    <t>8. Harmonic (average value), voltage value, a-N, ab</t>
  </si>
  <si>
    <t>7. Harmonic (average value), voltage value, a-N, ab</t>
  </si>
  <si>
    <t>6. Harmonic (average value), voltage value, a-N, ab</t>
  </si>
  <si>
    <t>5. Harmonic (average value), voltage value, a-N, ab</t>
  </si>
  <si>
    <t>4. Harmonic (average value), voltage value, a-N, ab</t>
  </si>
  <si>
    <t>3. Harmonic (average value), voltage value, a-N, ab</t>
  </si>
  <si>
    <t>2. Harmonic (average value), voltage value, a-N, ab</t>
  </si>
  <si>
    <t>1. Harmonic (average value), voltage value, a-N, ab
(Basic wave)</t>
  </si>
  <si>
    <t>PQ Calculation for Harmonic (Average Values) –Voltage Values</t>
  </si>
  <si>
    <t>40. Harmonic, current value, c-N</t>
  </si>
  <si>
    <t>39. Harmonic, current value, c-N</t>
  </si>
  <si>
    <t>38. Harmonic, current value, c-N</t>
  </si>
  <si>
    <t>37. Harmonic, current value, c-N</t>
  </si>
  <si>
    <t>36. Harmonic, current value, c-N</t>
  </si>
  <si>
    <t>35. Harmonic, current value, c-N</t>
  </si>
  <si>
    <t>34. Harmonic, current value, c-N</t>
  </si>
  <si>
    <t>33. Harmonic, current value, c-N</t>
  </si>
  <si>
    <t>32. Harmonic, current value, c-N</t>
  </si>
  <si>
    <t>31. Harmonic, current value, c-N</t>
  </si>
  <si>
    <t>30. Harmonic, current value, c-N</t>
  </si>
  <si>
    <t>29. Harmonic, current value, c-N</t>
  </si>
  <si>
    <t>28. Harmonic, current value, c-N</t>
  </si>
  <si>
    <t>27. Harmonic, current value, c-N</t>
  </si>
  <si>
    <t>26. Harmonic, current value, c-N</t>
  </si>
  <si>
    <t>25. Harmonic, current value, c-N</t>
  </si>
  <si>
    <t>24. Harmonic, current value, c-N</t>
  </si>
  <si>
    <t>23. Harmonic, current value, c-N</t>
  </si>
  <si>
    <t>22. Harmonic, current value, c-N</t>
  </si>
  <si>
    <t>21. Harmonic, current value, c-N</t>
  </si>
  <si>
    <t>20. Harmonic, current value, c-N</t>
  </si>
  <si>
    <t>19. Harmonic, current value, c-N</t>
  </si>
  <si>
    <t>18. Harmonic, current value, c-N</t>
  </si>
  <si>
    <t>17. Harmonic, current value, c-N</t>
  </si>
  <si>
    <t>16. Harmonic, current value, c-N</t>
  </si>
  <si>
    <t>15. Harmonic, current value, c-N</t>
  </si>
  <si>
    <t>14. Harmonic, current value, c-N</t>
  </si>
  <si>
    <t>13. Harmonic, current value, c-N</t>
  </si>
  <si>
    <t>12. Harmonic, current value, c-N</t>
  </si>
  <si>
    <t>11. Harmonic, current value, c-N</t>
  </si>
  <si>
    <t>10. Harmonic, current value, c-N</t>
  </si>
  <si>
    <t>9. Harmonic, current value, c-N</t>
  </si>
  <si>
    <t>8. Harmonic, current value, c-N</t>
  </si>
  <si>
    <t>7. Harmonic, current value, c-N</t>
  </si>
  <si>
    <t>6. Harmonic, current value, c-N</t>
  </si>
  <si>
    <t>5. Harmonic, current value, c-N</t>
  </si>
  <si>
    <t>4. Harmonic, current value, c-N</t>
  </si>
  <si>
    <t>3. Harmonic, current value, c-N</t>
  </si>
  <si>
    <t>2. Harmonic, current value, c-N</t>
  </si>
  <si>
    <t>1. Harmonic, current value, c-N (Basic wave)</t>
  </si>
  <si>
    <t>40. Harmonic, current value, b-N</t>
  </si>
  <si>
    <t>39. Harmonic, current value, b-N</t>
  </si>
  <si>
    <t>38. Harmonic, current value, b-N</t>
  </si>
  <si>
    <t>37. Harmonic, current value, b-N</t>
  </si>
  <si>
    <t>36. Harmonic, current value, b-N</t>
  </si>
  <si>
    <t>35. Harmonic, current value, b-N</t>
  </si>
  <si>
    <t>34. Harmonic, current value, b-N</t>
  </si>
  <si>
    <t>33. Harmonic, current value, b-N</t>
  </si>
  <si>
    <t>32. Harmonic, current value, b-N</t>
  </si>
  <si>
    <t>31. Harmonic, current value, b-N</t>
  </si>
  <si>
    <t>30. Harmonic, current value, b-N</t>
  </si>
  <si>
    <t>29. Harmonic, current value, b-N</t>
  </si>
  <si>
    <t>28. Harmonic, current value, b-N</t>
  </si>
  <si>
    <t>27. Harmonic, current value, b-N</t>
  </si>
  <si>
    <t>26. Harmonic, current value, b-N</t>
  </si>
  <si>
    <t>25. Harmonic, current value, b-N</t>
  </si>
  <si>
    <t>24. Harmonic, current value, b-N</t>
  </si>
  <si>
    <t>23. Harmonic, current value, b-N</t>
  </si>
  <si>
    <t>22. Harmonic, current value, b-N</t>
  </si>
  <si>
    <t>21. Harmonic, current value, b-N</t>
  </si>
  <si>
    <t>20. Harmonic, current value, b-N</t>
  </si>
  <si>
    <t>19. Harmonic, current value, b-N</t>
  </si>
  <si>
    <t>18. Harmonic, current value, b-N</t>
  </si>
  <si>
    <t>17. Harmonic, current value, b-N</t>
  </si>
  <si>
    <t>16. Harmonic, current value, b-N</t>
  </si>
  <si>
    <t>15. Harmonic, current value, b-N</t>
  </si>
  <si>
    <t>14. Harmonic, current value, b-N</t>
  </si>
  <si>
    <t>13. Harmonic, current value, b-N</t>
  </si>
  <si>
    <t>12. Harmonic, current value, b-N</t>
  </si>
  <si>
    <t>11. Harmonic, current value, b-N</t>
  </si>
  <si>
    <t>10. Harmonic, current value, b-N</t>
  </si>
  <si>
    <t>9. Harmonic, current value, b-N</t>
  </si>
  <si>
    <t>8. Harmonic, current value, b-N</t>
  </si>
  <si>
    <t>7. Harmonic, current value, b-N</t>
  </si>
  <si>
    <t>6. Harmonic, current value, b-N</t>
  </si>
  <si>
    <t>5. Harmonic, current value, b-N</t>
  </si>
  <si>
    <t>4. Harmonic, current value, b-N</t>
  </si>
  <si>
    <t>3. Harmonic, current value, b-N</t>
  </si>
  <si>
    <t>2. Harmonic, current value, b-N</t>
  </si>
  <si>
    <t>1. Harmonic, current value, b-N (Basic wave)</t>
  </si>
  <si>
    <t>40. Harmonic, current value, a-N</t>
  </si>
  <si>
    <t>39. Harmonic, current value, a-N</t>
  </si>
  <si>
    <t>38. Harmonic, current value, a-N</t>
  </si>
  <si>
    <t>37. Harmonic, current value, a-N</t>
  </si>
  <si>
    <t>36. Harmonic, current value, a-N</t>
  </si>
  <si>
    <t>35. Harmonic, current value, a-N</t>
  </si>
  <si>
    <t>34. Harmonic, current value, a-N</t>
  </si>
  <si>
    <t>33. Harmonic, current value, a-N</t>
  </si>
  <si>
    <t>32. Harmonic, current value, a-N</t>
  </si>
  <si>
    <t>31. Harmonic, current value, a-N</t>
  </si>
  <si>
    <t>30. Harmonic, current value, a-N</t>
  </si>
  <si>
    <t>29. Harmonic, current value, a-N</t>
  </si>
  <si>
    <t>28. Harmonic, current value, a-N</t>
  </si>
  <si>
    <t>27. Harmonic, current value, a-N</t>
  </si>
  <si>
    <t>26. Harmonic, current value, a-N</t>
  </si>
  <si>
    <t>25. Harmonic, current value, a-N</t>
  </si>
  <si>
    <t>24. Harmonic, current value, a-N</t>
  </si>
  <si>
    <t>23. Harmonic, current value, a-N</t>
  </si>
  <si>
    <t>22. Harmonic, current value, a-N</t>
  </si>
  <si>
    <t>21. Harmonic, current value, a-N</t>
  </si>
  <si>
    <t>20. Harmonic, current value, a-N</t>
  </si>
  <si>
    <t>19. Harmonic, current value, a-N</t>
  </si>
  <si>
    <t>18. Harmonic, current value, a-N</t>
  </si>
  <si>
    <t>17. Harmonic, current value, a-N</t>
  </si>
  <si>
    <t>16. Harmonic, current value, a-N</t>
  </si>
  <si>
    <t>15. Harmonic, current value, a-N</t>
  </si>
  <si>
    <t>14. Harmonic, current value, a-N</t>
  </si>
  <si>
    <t>13. Harmonic, current value, a-N</t>
  </si>
  <si>
    <t>12. Harmonic, current value, a-N</t>
  </si>
  <si>
    <t>11. Harmonic, current value, a-N</t>
  </si>
  <si>
    <t>10. Harmonic, current value, a-N</t>
  </si>
  <si>
    <t>9. Harmonic, current value, a-N</t>
  </si>
  <si>
    <t>8. Harmonic, current value, a-N</t>
  </si>
  <si>
    <t>7. Harmonic, current value, a-N</t>
  </si>
  <si>
    <t>6. Harmonic, current value, a-N</t>
  </si>
  <si>
    <t>5. Harmonic, current value, a-N</t>
  </si>
  <si>
    <t>4. Harmonic, current value, a-N</t>
  </si>
  <si>
    <t>3. Harmonic, current value, a-N</t>
  </si>
  <si>
    <t>2. Harmonic, current value, a-N</t>
  </si>
  <si>
    <t>1. Harmonic, current value, a-N (Basic wave)</t>
  </si>
  <si>
    <t>40. Harmonic, voltage value, c-N, ca</t>
  </si>
  <si>
    <t>39. Harmonic, voltage value, c-N, ca</t>
  </si>
  <si>
    <t>38. Harmonic, voltage value, c-N, ca</t>
  </si>
  <si>
    <t>37. Harmonic, voltage value, c-N, ca</t>
  </si>
  <si>
    <t>36. Harmonic, voltage value, c-N, ca</t>
  </si>
  <si>
    <t>35. Harmonic, voltage value, c-N, ca</t>
  </si>
  <si>
    <t>34. Harmonic, voltage value, c-N, ca</t>
  </si>
  <si>
    <t>33. Harmonic, voltage value, c-N, ca</t>
  </si>
  <si>
    <t>32. Harmonic, voltage value, c-N, ca</t>
  </si>
  <si>
    <t>31. Harmonic, voltage value, c-N, ca</t>
  </si>
  <si>
    <t>30. Harmonic, voltage value, c-N, ca</t>
  </si>
  <si>
    <t>29. Harmonic, voltage value, c-N, ca</t>
  </si>
  <si>
    <t>28. Harmonic, voltage value, c-N, ca</t>
  </si>
  <si>
    <t>27. Harmonic, voltage value, c-N, ca</t>
  </si>
  <si>
    <t>26. Harmonic, voltage value, c-N, ca</t>
  </si>
  <si>
    <t>25. Harmonic, voltage value, c-N, ca</t>
  </si>
  <si>
    <t>24. Harmonic, voltage value, c-N, ca</t>
  </si>
  <si>
    <t>23. Harmonic, voltage value, c-N, ca</t>
  </si>
  <si>
    <t>22. Harmonic, voltage value, c-N, ca</t>
  </si>
  <si>
    <t>21. Harmonic, voltage value, c-N, ca</t>
  </si>
  <si>
    <t>20. Harmonic, voltage value, c-N, ca</t>
  </si>
  <si>
    <t>19. Harmonic, voltage value, c-N, ca</t>
  </si>
  <si>
    <t>18. Harmonic, voltage value, c-N, ca</t>
  </si>
  <si>
    <t>17. Harmonic, voltage value, c-N, ca</t>
  </si>
  <si>
    <t>16. Harmonic, voltage value, c-N, ca</t>
  </si>
  <si>
    <t>15. Harmonic, voltage value, c-N, ca</t>
  </si>
  <si>
    <t>14. Harmonic, voltage value, c-N, ca</t>
  </si>
  <si>
    <t>13. Harmonic, voltage value, c-N, ca</t>
  </si>
  <si>
    <t>12. Harmonic, voltage value, c-N, ca</t>
  </si>
  <si>
    <t>11. Harmonic, voltage value, c-N, ca</t>
  </si>
  <si>
    <t>10. Harmonic, voltage value, c-N, ca</t>
  </si>
  <si>
    <t>9. Harmonic, voltage value, c-N, ca</t>
  </si>
  <si>
    <t>8. Harmonic, voltage value, c-N, ca</t>
  </si>
  <si>
    <t>7. Harmonic, voltage value, c-N, ca</t>
  </si>
  <si>
    <t>6. Harmonic, voltage value, c-N, ca</t>
  </si>
  <si>
    <t>5. Harmonic, voltage value, c-N, ca</t>
  </si>
  <si>
    <t>4. Harmonic, voltage value, c-N, ca</t>
  </si>
  <si>
    <t>3. Harmonic, voltage value, c-N, ca</t>
  </si>
  <si>
    <t>2. Harmonic, voltage value, c-N, ca</t>
  </si>
  <si>
    <t>1. Harmonic, voltage value, c-N, ca (Basic wave)</t>
  </si>
  <si>
    <t>40. Harmonic, voltage value, b-N, bc</t>
  </si>
  <si>
    <t>39. Harmonic, voltage value, b-N, bc</t>
  </si>
  <si>
    <t>38. Harmonic, voltage value, b-N, bc</t>
  </si>
  <si>
    <t>37. Harmonic, voltage value, b-N, bc</t>
  </si>
  <si>
    <t>36. Harmonic, voltage value, b-N, bc</t>
  </si>
  <si>
    <t>35. Harmonic, voltage value, b-N, bc</t>
  </si>
  <si>
    <t>34. Harmonic, voltage value, b-N, bc</t>
  </si>
  <si>
    <t>33. Harmonic, voltage value, b-N, bc</t>
  </si>
  <si>
    <t>32. Harmonic, voltage value, b-N, bc</t>
  </si>
  <si>
    <t>31. Harmonic, voltage value, b-N, bc</t>
  </si>
  <si>
    <t>30. Harmonic, voltage value, b-N, bc</t>
  </si>
  <si>
    <t>29. Harmonic, voltage value, b-N, bc</t>
  </si>
  <si>
    <t>28. Harmonic, voltage value, b-N, bc</t>
  </si>
  <si>
    <t>27. Harmonic, voltage value, b-N, bc</t>
  </si>
  <si>
    <t>26. Harmonic, voltage value, b-N, bc</t>
  </si>
  <si>
    <t>25. Harmonic, voltage value, b-N, bc</t>
  </si>
  <si>
    <t>24. Harmonic, voltage value, b-N, bc</t>
  </si>
  <si>
    <t>23. Harmonic, voltage value, b-N, bc</t>
  </si>
  <si>
    <t>22. Harmonic, voltage value, b-N, bc</t>
  </si>
  <si>
    <t>21. Harmonic, voltage value, b-N, bc</t>
  </si>
  <si>
    <t>20. Harmonic, voltage value, b-N, bc</t>
  </si>
  <si>
    <t>19. Harmonic, voltage value, b-N, bc</t>
  </si>
  <si>
    <t>18. Harmonic, voltage value, b-N, bc</t>
  </si>
  <si>
    <t>17. Harmonic, voltage value, b-N, bc</t>
  </si>
  <si>
    <t>16. Harmonic, voltage value, b-N, bc</t>
  </si>
  <si>
    <t>15. Harmonic, voltage value, b-N, bc</t>
  </si>
  <si>
    <t>14. Harmonic, voltage value, b-N, bc</t>
  </si>
  <si>
    <t>13. Harmonic, voltage value, b-N, bc</t>
  </si>
  <si>
    <t>12. Harmonic, voltage value, b-N, bc</t>
  </si>
  <si>
    <t>11. Harmonic, voltage value, b-N, bc</t>
  </si>
  <si>
    <t>10. Harmonic, voltage value, b-N, bc</t>
  </si>
  <si>
    <t>9. Harmonic, voltage value, b-N, bc</t>
  </si>
  <si>
    <t>8. Harmonic, voltage value, b-N, bc</t>
  </si>
  <si>
    <t>7. Harmonic, voltage value, b-N, bc</t>
  </si>
  <si>
    <t>6. Harmonic, voltage value, b-N, bc</t>
  </si>
  <si>
    <t>5. Harmonic, voltage value, b-N, bc</t>
  </si>
  <si>
    <t>4. Harmonic, voltage value, b-N, bc</t>
  </si>
  <si>
    <t>3. Harmonic, voltage value, b-N, bc</t>
  </si>
  <si>
    <t>2. Harmonic, voltage value, b-N, bc</t>
  </si>
  <si>
    <t>1. Harmonic, voltage value, b-N, bc (Basic wave)</t>
  </si>
  <si>
    <t>40. Harmonic, voltage value, a-N, ab</t>
  </si>
  <si>
    <t>39. Harmonic, voltage value, a-N, ab</t>
  </si>
  <si>
    <t>38. Harmonic, voltage value, a-N, ab</t>
  </si>
  <si>
    <t>37. Harmonic, voltage value, a-N, ab</t>
  </si>
  <si>
    <t>36. Harmonic, voltage value, a-N, ab</t>
  </si>
  <si>
    <t>35. Harmonic, voltage value, a-N, ab</t>
  </si>
  <si>
    <t>34. Harmonic, voltage value, a-N, ab</t>
  </si>
  <si>
    <t>33. Harmonic, voltage value, a-N, ab</t>
  </si>
  <si>
    <t>32. Harmonic, voltage value, a-N, ab</t>
  </si>
  <si>
    <t>31. Harmonic, voltage value, a-N, ab</t>
  </si>
  <si>
    <t>30. Harmonic, voltage value, a-N, ab</t>
  </si>
  <si>
    <t>29. Harmonic, voltage value, a-N, ab</t>
  </si>
  <si>
    <t>28. Harmonic, voltage value, a-N, ab</t>
  </si>
  <si>
    <t>27. Harmonic, voltage value, a-N, ab</t>
  </si>
  <si>
    <t>26. Harmonic, voltage value, a-N, ab</t>
  </si>
  <si>
    <t>25. Harmonic, voltage value, a-N, ab</t>
  </si>
  <si>
    <t>24. Harmonic, voltage value, a-N, ab</t>
  </si>
  <si>
    <t>23. Harmonic, voltage value, a-N, ab</t>
  </si>
  <si>
    <t>22. Harmonic, voltage value, a-N, ab</t>
  </si>
  <si>
    <t>21. Harmonic, voltage value, a-N, ab</t>
  </si>
  <si>
    <t>20. Harmonic, voltage value, a-N, ab</t>
  </si>
  <si>
    <t>19. Harmonic, voltage value, a-N, ab</t>
  </si>
  <si>
    <t>18. Harmonic, voltage value, a-N, ab</t>
  </si>
  <si>
    <t>17. Harmonic, voltage value, a-N, ab</t>
  </si>
  <si>
    <t>16. Harmonic, voltage value, a-N, ab</t>
  </si>
  <si>
    <t>15. Harmonic, voltage value, a-N, ab</t>
  </si>
  <si>
    <t>14. Harmonic, voltage value, a-N, ab</t>
  </si>
  <si>
    <t>13. Harmonic, voltage value, a-N, ab</t>
  </si>
  <si>
    <t>12. Harmonic, voltage value, a-N, ab</t>
  </si>
  <si>
    <t>11. Harmonic, voltage value, a-N, ab</t>
  </si>
  <si>
    <t>10. Harmonic, voltage value, a-N, ab</t>
  </si>
  <si>
    <t>9. Harmonic, voltage value, a-N, ab</t>
  </si>
  <si>
    <t>8. Harmonic, voltage value, a-N, ab</t>
  </si>
  <si>
    <t>7. Harmonic, voltage value, a-N, ab</t>
  </si>
  <si>
    <t>6. Harmonic, voltage value, a-N, ab</t>
  </si>
  <si>
    <t>5. Harmonic, voltage value, a-N, ab</t>
  </si>
  <si>
    <t>4. Harmonic, voltage value, a-N, ab</t>
  </si>
  <si>
    <t>3. Harmonic, voltage value, a-N, ab</t>
  </si>
  <si>
    <t>2. Harmonic, voltage value, a-N, ab</t>
  </si>
  <si>
    <t>1. Harmonic, voltage value, a-N, ab (Basic wave)</t>
  </si>
  <si>
    <t>Apparent energy based on apparent power Sc</t>
  </si>
  <si>
    <t>Apparent energy based on apparent power Sb</t>
  </si>
  <si>
    <t>Apparent energy based on apparent power Sa</t>
  </si>
  <si>
    <t>Reactive energy based on reactive power Q
Capacitive</t>
  </si>
  <si>
    <t>Reactive energy based on reactive power Qc
Capacitive</t>
  </si>
  <si>
    <t>Reactive energy based on reactive power Qb
Capacitive</t>
  </si>
  <si>
    <t>Reactive energy based on reactive power Qa
Capacitive</t>
  </si>
  <si>
    <t>Reactive energy based on reactive power Q
Inductive</t>
  </si>
  <si>
    <t>Reactive energy based on reactive power Qc
Inductive</t>
  </si>
  <si>
    <t>Reactive energy based on reactive power Qb
Inductive</t>
  </si>
  <si>
    <t>Reactive energy based on reactive power Qa
Inductive</t>
  </si>
  <si>
    <t>Active energy based on active power P
Supply</t>
  </si>
  <si>
    <t>Active energy based on active power Pc
Supply</t>
  </si>
  <si>
    <t>Active energy based on active power Pb
Supply</t>
  </si>
  <si>
    <t>Active energy based on active power Pa
Supply</t>
  </si>
  <si>
    <t>Active energy based on active power P
Demand</t>
  </si>
  <si>
    <t>Active energy based on active power Pc
Demand</t>
  </si>
  <si>
    <t>Active energy based on active power Pb
Demand</t>
  </si>
  <si>
    <t>Active energy based on active power Pa
Demand</t>
  </si>
  <si>
    <t>Status of counters WSc</t>
  </si>
  <si>
    <t>Status of counters WSb</t>
  </si>
  <si>
    <t>Status of counters WSa</t>
  </si>
  <si>
    <t>Status of counters WQ_capacitive</t>
  </si>
  <si>
    <t>Status of counters WQc_capacitive</t>
  </si>
  <si>
    <t>Status of counters WQb_capacitive</t>
  </si>
  <si>
    <t>Status of counters WQa_capacitive</t>
  </si>
  <si>
    <t>Status of counters WQ_inductive</t>
  </si>
  <si>
    <t>Status of counters WQc_inductive</t>
  </si>
  <si>
    <t>Status of counters WQb_inductive</t>
  </si>
  <si>
    <t>Status of counters WP_Supply</t>
  </si>
  <si>
    <t>Status of counters Wpc_Supply</t>
  </si>
  <si>
    <t>Status of counters Wpb_Supply</t>
  </si>
  <si>
    <t>Status of counters Wpa_Supply</t>
  </si>
  <si>
    <t>Status of counters WP_Demand</t>
  </si>
  <si>
    <t>Status of counters Wpc_Demand</t>
  </si>
  <si>
    <t>Status of counters Wpb_Demand</t>
  </si>
  <si>
    <t>Status of counters Wpa_Demand</t>
  </si>
  <si>
    <t>Counter Value Status</t>
  </si>
  <si>
    <t>Wh per pulse,
varh per pulse
or
VAh per pulse</t>
  </si>
  <si>
    <t xml:space="preserve"> The period for calculating the power frequency
is 10 s.</t>
  </si>
  <si>
    <t>Power frequency</t>
  </si>
  <si>
    <t>Power factor</t>
  </si>
  <si>
    <t>Apparent power</t>
  </si>
  <si>
    <t>Reactive power</t>
  </si>
  <si>
    <t>Active power</t>
  </si>
  <si>
    <t>Mean value of currents</t>
  </si>
  <si>
    <t>Current neutral conductor</t>
  </si>
  <si>
    <t>Mean value of voltage (P-N)</t>
  </si>
  <si>
    <t>Voltage neutral conductor</t>
  </si>
  <si>
    <t>Voltage c-N</t>
  </si>
  <si>
    <t>Voltage b-N</t>
  </si>
  <si>
    <t>Frequency The period for calculating the power frequency is 10 s.</t>
  </si>
  <si>
    <t>Reactive Power</t>
  </si>
  <si>
    <t>Long term flicker voltage Vb-c</t>
  </si>
  <si>
    <t>Long term flicker voltage Va-b</t>
  </si>
  <si>
    <t>Short term flicker voltage Vc-a</t>
  </si>
  <si>
    <t>Short term flicker voltage Vb-c</t>
  </si>
  <si>
    <t>Short term flicker voltage Va-b</t>
  </si>
  <si>
    <t>Flicker instantaneous value voltage Vc-a</t>
  </si>
  <si>
    <t>Flicker instantaneous value voltage Vb-c</t>
  </si>
  <si>
    <t>Flicker instantaneous value voltage Va-b</t>
  </si>
  <si>
    <t>Long term flicker voltage Vc</t>
  </si>
  <si>
    <t>Long term flicker voltage Vb</t>
  </si>
  <si>
    <t>Long term flicker voltage Va</t>
  </si>
  <si>
    <t>Short term flicker voltage Vc</t>
  </si>
  <si>
    <t>Short term flicker voltage Vb</t>
  </si>
  <si>
    <t>Short term flicker voltage Va</t>
  </si>
  <si>
    <t>Device name from the configuration</t>
  </si>
  <si>
    <t>STRING</t>
  </si>
  <si>
    <t>Limit Violation 1</t>
  </si>
  <si>
    <t>Limit Violation 2</t>
  </si>
  <si>
    <t>Limit Violation 3</t>
  </si>
  <si>
    <t>Limit Violation 4</t>
  </si>
  <si>
    <t>Limit Violation 5</t>
  </si>
  <si>
    <t>Limit Violation 6</t>
  </si>
  <si>
    <t>Limit Violation 7</t>
  </si>
  <si>
    <t>Limit Violation 8</t>
  </si>
  <si>
    <t>Limit Violation 9</t>
  </si>
  <si>
    <t>Limit Violation 10</t>
  </si>
  <si>
    <t>Limit Violation 11</t>
  </si>
  <si>
    <t>Limit Violation 12</t>
  </si>
  <si>
    <t>Limit Violation 13</t>
  </si>
  <si>
    <t>Limit Violation 14</t>
  </si>
  <si>
    <t>Limit Violation 15</t>
  </si>
  <si>
    <t>Limit Violation 16</t>
  </si>
  <si>
    <t>Group indication 1</t>
  </si>
  <si>
    <t>Group indication 2</t>
  </si>
  <si>
    <t>Group indication 3</t>
  </si>
  <si>
    <t>Group indication 4</t>
  </si>
  <si>
    <t>BITS</t>
  </si>
  <si>
    <t>Milliseconds( Last Period PQ Calculation)</t>
  </si>
  <si>
    <t>Milliseconds( Last Period PQ Calculation for Frequency (Configurable Period = 30 s to 2 h))</t>
  </si>
  <si>
    <t>fc.</t>
  </si>
  <si>
    <t>REG CNT</t>
  </si>
  <si>
    <t>REG POS</t>
  </si>
  <si>
    <t>BIT CNT</t>
  </si>
  <si>
    <t>° (C)</t>
  </si>
  <si>
    <t>DESC.</t>
  </si>
  <si>
    <t>TYPE</t>
  </si>
  <si>
    <t>UNIT</t>
  </si>
  <si>
    <t>REG STOP</t>
  </si>
  <si>
    <t>Device identification (read only) Register 0001 to 0049</t>
  </si>
  <si>
    <t>Date and time 0065 to 0068</t>
  </si>
  <si>
    <t xml:space="preserve"> Version Information Register 0071 to 0089</t>
  </si>
  <si>
    <t>Device Status Indication Register 0101 to 0102</t>
  </si>
  <si>
    <t xml:space="preserve">Measurand Limit Violation Indications Register 0111 and 0112 </t>
  </si>
  <si>
    <t>Limit Violation Indications An indication is output (= 1) if a measured value has exceeded or fallen below a configured limiting value. For more information, see the SENTRON PAC5100/5200 device manual,
chapter Parameterization.</t>
  </si>
  <si>
    <t>Group Indications Register 0113:</t>
  </si>
  <si>
    <t xml:space="preserve">
can be parameterized:</t>
  </si>
  <si>
    <t>Group Indications  A total of 4 group indications</t>
  </si>
  <si>
    <t xml:space="preserve"> Power Quality Event Register 0114</t>
  </si>
  <si>
    <t>Status of the Binary Outputs Register 0131</t>
  </si>
  <si>
    <t>Indications of the Communication Register 0141:</t>
  </si>
  <si>
    <t>Measured Values Registers 0201 to 0322 (without 0281 to 0292):</t>
  </si>
  <si>
    <t>Flicker Registers 0323 to 0358</t>
  </si>
  <si>
    <t>Data/Time for Last Period PQ Calculation Registers 0392 to 0395</t>
  </si>
  <si>
    <t>Data/Time for Last Period PQ Calculation for Frequency (Configurable Period = 30 s to 2 h) Register 0396 to 0399</t>
  </si>
  <si>
    <t>PQ Measured Values – Average Values Registers 0401 to 0510</t>
  </si>
  <si>
    <t>PQ Measured Values – Minimum Values Registers 0531 to 0640</t>
  </si>
  <si>
    <t>PQ Measured Values – Maximum Values Registers 0651 to 0760</t>
  </si>
  <si>
    <t>Energy per Counter Pulse Register 0801 to 0802</t>
  </si>
  <si>
    <t>Counter Value Status Registers 0803 to 0806</t>
  </si>
  <si>
    <t>Counter Pulses Registers 0807 to 0846</t>
  </si>
  <si>
    <t>Harmonics – Voltage Values Registers 1001 to 1280</t>
  </si>
  <si>
    <t>Harmonics – Current Values Registers 1401 to 1680</t>
  </si>
  <si>
    <t xml:space="preserve"> </t>
  </si>
  <si>
    <t xml:space="preserve">PQ Calculation for Maximum Harmonic – Voltage Values </t>
  </si>
  <si>
    <r>
      <rPr>
        <b/>
        <sz val="11"/>
        <color rgb="FF000000"/>
        <rFont val="Calibri"/>
        <family val="2"/>
      </rPr>
      <t>default</t>
    </r>
    <r>
      <rPr>
        <b/>
        <sz val="11"/>
        <color rgb="FF000000"/>
        <rFont val="Noto Sans CJK SC Regular"/>
        <family val="2"/>
      </rPr>
      <t>值</t>
    </r>
  </si>
  <si>
    <t>ENUM_KEY</t>
  </si>
  <si>
    <t>ENUM_VALUE</t>
  </si>
  <si>
    <t>REG STOP/Scaling</t>
  </si>
  <si>
    <t>Device Status</t>
  </si>
  <si>
    <t>CUSTOM</t>
  </si>
  <si>
    <t>DeviceStatus</t>
  </si>
  <si>
    <t>Measurand Limit Violation Indications</t>
  </si>
  <si>
    <t>Violation Indications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</si>
</sst>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000000"/>
      <name val="Noto Sans CJK SC Regular"/>
      <family val="2"/>
    </font>
    <font>
      <b/>
      <sz val="11"/>
      <color rgb="FFFF0000"/>
      <name val="Calibri"/>
      <family val="2"/>
    </font>
    <font>
      <b/>
      <sz val="9"/>
      <color rgb="FF000000"/>
      <name val="Calibri"/>
      <family val="2"/>
    </font>
    <font>
      <b/>
      <sz val="11"/>
      <color rgb="FF000000"/>
      <name val="Noto Sans CJK SC Regular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rgb="FFFF9900"/>
      </patternFill>
    </fill>
    <fill>
      <patternFill patternType="solid">
        <fgColor theme="4" tint="0.79998168889431442"/>
        <bgColor rgb="FFFF99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FFF00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9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49" fontId="0" fillId="2" borderId="0" xfId="0" applyNumberFormat="1" applyFill="1"/>
    <xf numFmtId="49" fontId="0" fillId="2" borderId="0" xfId="0" applyNumberFormat="1" applyFill="1" applyAlignment="1">
      <alignment horizontal="left"/>
    </xf>
    <xf numFmtId="0" fontId="0" fillId="2" borderId="0" xfId="0" applyFill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wrapText="1"/>
    </xf>
    <xf numFmtId="4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0" fillId="4" borderId="1" xfId="0" applyFill="1" applyBorder="1"/>
    <xf numFmtId="0" fontId="0" fillId="4" borderId="1" xfId="0" applyFill="1" applyBorder="1" applyAlignment="1">
      <alignment wrapText="1"/>
    </xf>
    <xf numFmtId="49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49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left"/>
    </xf>
    <xf numFmtId="49" fontId="1" fillId="0" borderId="1" xfId="0" applyNumberFormat="1" applyFont="1" applyBorder="1" applyAlignment="1">
      <alignment horizontal="left" wrapText="1"/>
    </xf>
    <xf numFmtId="0" fontId="0" fillId="0" borderId="0" xfId="0" applyAlignment="1">
      <alignment wrapText="1"/>
    </xf>
    <xf numFmtId="0" fontId="0" fillId="3" borderId="0" xfId="0" applyFill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4" borderId="0" xfId="0" applyFill="1"/>
    <xf numFmtId="0" fontId="0" fillId="4" borderId="0" xfId="0" applyFill="1" applyAlignment="1">
      <alignment wrapText="1"/>
    </xf>
    <xf numFmtId="0" fontId="5" fillId="0" borderId="0" xfId="0" applyFont="1" applyAlignment="1">
      <alignment vertical="top"/>
    </xf>
    <xf numFmtId="0" fontId="5" fillId="6" borderId="0" xfId="0" applyFont="1" applyFill="1" applyAlignment="1">
      <alignment vertical="top"/>
    </xf>
    <xf numFmtId="0" fontId="5" fillId="0" borderId="0" xfId="0" applyFont="1" applyAlignment="1"/>
    <xf numFmtId="0" fontId="0" fillId="0" borderId="0" xfId="0" applyAlignment="1"/>
    <xf numFmtId="0" fontId="0" fillId="6" borderId="0" xfId="0" applyFill="1" applyAlignment="1"/>
    <xf numFmtId="0" fontId="5" fillId="6" borderId="0" xfId="0" applyFont="1" applyFill="1" applyAlignment="1"/>
    <xf numFmtId="0" fontId="0" fillId="7" borderId="0" xfId="0" applyFill="1" applyAlignment="1"/>
    <xf numFmtId="0" fontId="5" fillId="8" borderId="0" xfId="0" applyFont="1" applyFill="1" applyAlignment="1"/>
    <xf numFmtId="0" fontId="0" fillId="8" borderId="0" xfId="0" applyFill="1" applyAlignment="1"/>
    <xf numFmtId="0" fontId="5" fillId="7" borderId="0" xfId="0" applyFont="1" applyFill="1" applyAlignment="1"/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7" borderId="0" xfId="0" applyFill="1" applyAlignment="1">
      <alignment horizontal="right" wrapText="1"/>
    </xf>
    <xf numFmtId="0" fontId="0" fillId="11" borderId="0" xfId="0" applyFill="1" applyAlignment="1"/>
    <xf numFmtId="0" fontId="5" fillId="12" borderId="0" xfId="0" applyFont="1" applyFill="1" applyAlignment="1"/>
    <xf numFmtId="0" fontId="5" fillId="11" borderId="0" xfId="0" applyFont="1" applyFill="1" applyAlignment="1"/>
    <xf numFmtId="0" fontId="0" fillId="12" borderId="0" xfId="0" applyFill="1" applyAlignment="1"/>
    <xf numFmtId="0" fontId="7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vertical="top" wrapText="1"/>
      <protection locked="0"/>
    </xf>
    <xf numFmtId="0" fontId="9" fillId="0" borderId="0" xfId="0" applyFont="1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49" fontId="6" fillId="10" borderId="0" xfId="0" applyNumberFormat="1" applyFont="1" applyFill="1" applyAlignment="1" applyProtection="1">
      <alignment wrapText="1"/>
      <protection locked="0"/>
    </xf>
    <xf numFmtId="0" fontId="8" fillId="9" borderId="0" xfId="0" applyFont="1" applyFill="1" applyAlignment="1" applyProtection="1">
      <alignment wrapText="1"/>
      <protection locked="0"/>
    </xf>
    <xf numFmtId="0" fontId="5" fillId="7" borderId="0" xfId="0" applyFont="1" applyFill="1" applyAlignment="1" applyProtection="1">
      <alignment wrapText="1"/>
      <protection locked="0"/>
    </xf>
    <xf numFmtId="0" fontId="5" fillId="9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0" borderId="0" xfId="0" applyFill="1"/>
    <xf numFmtId="0" fontId="5" fillId="0" borderId="0" xfId="0" applyFont="1" applyFill="1" applyAlignment="1">
      <alignment vertical="top"/>
    </xf>
    <xf numFmtId="0" fontId="0" fillId="0" borderId="0" xfId="0" applyFill="1" applyAlignment="1"/>
    <xf numFmtId="0" fontId="5" fillId="0" borderId="0" xfId="0" applyFont="1" applyFill="1" applyAlignment="1"/>
    <xf numFmtId="0" fontId="0" fillId="0" borderId="0" xfId="0" applyFill="1" applyAlignment="1">
      <alignment horizontal="right"/>
    </xf>
    <xf numFmtId="0" fontId="0" fillId="0" borderId="0" xfId="0"/>
    <xf numFmtId="0" fontId="6" fillId="0" borderId="0" xfId="0" applyFont="1" applyAlignment="1" applyProtection="1">
      <alignment wrapText="1"/>
      <protection locked="0"/>
    </xf>
    <xf numFmtId="0" fontId="0" fillId="0" borderId="0" xfId="0" applyAlignment="1">
      <alignment horizontal="center" wrapText="1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/>
    <xf numFmtId="0" fontId="0" fillId="5" borderId="0" xfId="0" applyFill="1"/>
    <xf numFmtId="0" fontId="0" fillId="0" borderId="0" xfId="0"/>
    <xf numFmtId="0" fontId="2" fillId="2" borderId="4" xfId="0" applyFont="1" applyFill="1" applyBorder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0" fontId="0" fillId="0" borderId="3" xfId="0" applyBorder="1"/>
    <xf numFmtId="0" fontId="0" fillId="0" borderId="2" xfId="0" applyBorder="1"/>
    <xf numFmtId="0" fontId="0" fillId="4" borderId="7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328173</xdr:colOff>
      <xdr:row>52</xdr:row>
      <xdr:rowOff>1602</xdr:rowOff>
    </xdr:from>
    <xdr:ext cx="5846856" cy="479667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0923" y="16860852"/>
          <a:ext cx="5846856" cy="47966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296537</xdr:colOff>
      <xdr:row>77</xdr:row>
      <xdr:rowOff>123264</xdr:rowOff>
    </xdr:from>
    <xdr:ext cx="7409375" cy="275664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79287" y="21745014"/>
          <a:ext cx="7409375" cy="2756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112059</xdr:colOff>
      <xdr:row>98</xdr:row>
      <xdr:rowOff>179294</xdr:rowOff>
    </xdr:from>
    <xdr:ext cx="6878732" cy="4911538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59" y="18225994"/>
          <a:ext cx="6878732" cy="4911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638735</xdr:colOff>
      <xdr:row>98</xdr:row>
      <xdr:rowOff>134470</xdr:rowOff>
    </xdr:from>
    <xdr:ext cx="8381439" cy="4921063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3785" y="18181170"/>
          <a:ext cx="8381439" cy="4921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57150</xdr:rowOff>
        </xdr:from>
        <xdr:to>
          <xdr:col>15</xdr:col>
          <xdr:colOff>28575</xdr:colOff>
          <xdr:row>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0</xdr:row>
          <xdr:rowOff>66675</xdr:rowOff>
        </xdr:from>
        <xdr:to>
          <xdr:col>1</xdr:col>
          <xdr:colOff>1771650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Model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megatron/public/vba/ACB3WL/SENTRON_ACB3W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B125"/>
      <sheetName val="space"/>
      <sheetName val="decode"/>
      <sheetName val="Sheet1"/>
    </sheetNames>
    <definedNames>
      <definedName name="ThisWorkbook.OutText"/>
    </definedNames>
    <sheetDataSet>
      <sheetData sheetId="0"/>
      <sheetData sheetId="1"/>
      <sheetData sheetId="2"/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Gao, Fei (RC-CN SI MAC)" id="{687518EB-6277-4BA0-990B-A6732D5E421A}" userId="S::fei-gao@siemens.com::bda84349-b70b-4f13-87e5-8d94ebda9d77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2" dT="2020-07-14T03:57:10.28" personId="{687518EB-6277-4BA0-990B-A6732D5E421A}" id="{E63F6E56-29D7-466C-AABA-D18B13BFC101}">
    <text>x=y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F43E2-8100-4B74-B810-1081BB93FD17}">
  <sheetPr codeName="Sheet1"/>
  <dimension ref="A1:P96"/>
  <sheetViews>
    <sheetView zoomScale="70" zoomScaleNormal="70" workbookViewId="0">
      <selection activeCell="G87" sqref="G87"/>
    </sheetView>
  </sheetViews>
  <sheetFormatPr defaultRowHeight="15"/>
  <cols>
    <col min="1" max="1" width="6.140625" style="2" bestFit="1" customWidth="1"/>
    <col min="2" max="2" width="21.140625" style="2" bestFit="1" customWidth="1"/>
    <col min="3" max="3" width="25.140625" bestFit="1" customWidth="1"/>
    <col min="4" max="4" width="27.28515625" customWidth="1"/>
    <col min="5" max="5" width="4.42578125" bestFit="1" customWidth="1"/>
    <col min="6" max="6" width="11.7109375" bestFit="1" customWidth="1"/>
    <col min="7" max="7" width="8.42578125" style="1" bestFit="1" customWidth="1"/>
    <col min="8" max="8" width="8.42578125" style="1" customWidth="1"/>
    <col min="9" max="9" width="14.85546875" bestFit="1" customWidth="1"/>
    <col min="10" max="10" width="12.85546875" bestFit="1" customWidth="1"/>
    <col min="11" max="13" width="25.140625" bestFit="1" customWidth="1"/>
    <col min="14" max="14" width="19" bestFit="1" customWidth="1"/>
    <col min="15" max="15" width="25.140625" bestFit="1" customWidth="1"/>
  </cols>
  <sheetData>
    <row r="1" spans="1:15" ht="21">
      <c r="A1" s="74" t="s">
        <v>254</v>
      </c>
      <c r="B1" s="75"/>
      <c r="C1" s="76" t="s">
        <v>253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7"/>
      <c r="O1" s="78"/>
    </row>
    <row r="2" spans="1:15" ht="18.75">
      <c r="A2" s="79" t="s">
        <v>252</v>
      </c>
      <c r="B2" s="80"/>
      <c r="C2" s="81"/>
      <c r="D2" s="81"/>
      <c r="E2" s="81"/>
      <c r="F2" s="81"/>
      <c r="G2" s="81"/>
      <c r="H2" s="81"/>
      <c r="I2" s="81"/>
      <c r="J2" s="81"/>
      <c r="K2" s="82"/>
      <c r="L2" s="82"/>
      <c r="M2" s="82"/>
      <c r="N2" s="82"/>
      <c r="O2" s="83"/>
    </row>
    <row r="3" spans="1:15" ht="75">
      <c r="A3" s="15" t="s">
        <v>9</v>
      </c>
      <c r="B3" s="16" t="s">
        <v>171</v>
      </c>
      <c r="C3" s="15" t="s">
        <v>210</v>
      </c>
      <c r="D3" s="15" t="s">
        <v>7</v>
      </c>
      <c r="E3" s="15" t="s">
        <v>40</v>
      </c>
      <c r="F3" s="16" t="s">
        <v>41</v>
      </c>
      <c r="G3" s="28" t="s">
        <v>209</v>
      </c>
      <c r="H3" s="28" t="s">
        <v>255</v>
      </c>
      <c r="I3" s="16" t="s">
        <v>3</v>
      </c>
      <c r="J3" s="16" t="s">
        <v>208</v>
      </c>
      <c r="K3" s="16" t="s">
        <v>207</v>
      </c>
      <c r="L3" s="16" t="s">
        <v>206</v>
      </c>
      <c r="M3" s="16" t="s">
        <v>167</v>
      </c>
      <c r="N3" s="16" t="s">
        <v>205</v>
      </c>
      <c r="O3" s="15" t="s">
        <v>165</v>
      </c>
    </row>
    <row r="4" spans="1:15">
      <c r="A4" s="10">
        <v>1</v>
      </c>
      <c r="B4" s="6" t="s">
        <v>36</v>
      </c>
      <c r="C4" s="6" t="s">
        <v>36</v>
      </c>
      <c r="D4" s="6" t="s">
        <v>251</v>
      </c>
      <c r="E4" s="6" t="s">
        <v>33</v>
      </c>
      <c r="F4" s="6">
        <v>24070</v>
      </c>
      <c r="G4" s="9"/>
      <c r="H4" s="9"/>
      <c r="I4" s="30"/>
      <c r="J4" s="30" t="s">
        <v>196</v>
      </c>
      <c r="K4" s="6" t="s">
        <v>181</v>
      </c>
      <c r="L4" s="6" t="s">
        <v>222</v>
      </c>
      <c r="M4" s="6" t="s">
        <v>1</v>
      </c>
      <c r="N4" s="6" t="s">
        <v>14</v>
      </c>
      <c r="O4" s="6"/>
    </row>
    <row r="5" spans="1:15">
      <c r="A5" s="10">
        <v>2</v>
      </c>
      <c r="B5" s="6" t="s">
        <v>35</v>
      </c>
      <c r="C5" s="6" t="s">
        <v>35</v>
      </c>
      <c r="D5" s="6" t="s">
        <v>250</v>
      </c>
      <c r="E5" s="6" t="s">
        <v>33</v>
      </c>
      <c r="F5" s="6">
        <v>24071</v>
      </c>
      <c r="G5" s="9"/>
      <c r="H5" s="9"/>
      <c r="I5" s="30"/>
      <c r="J5" s="30" t="s">
        <v>196</v>
      </c>
      <c r="K5" s="6" t="s">
        <v>181</v>
      </c>
      <c r="L5" s="6" t="s">
        <v>222</v>
      </c>
      <c r="M5" s="6" t="s">
        <v>1</v>
      </c>
      <c r="N5" s="6" t="s">
        <v>14</v>
      </c>
      <c r="O5" s="6"/>
    </row>
    <row r="6" spans="1:15">
      <c r="A6" s="10">
        <v>3</v>
      </c>
      <c r="B6" s="6" t="s">
        <v>34</v>
      </c>
      <c r="C6" s="6" t="s">
        <v>34</v>
      </c>
      <c r="D6" s="6" t="s">
        <v>249</v>
      </c>
      <c r="E6" s="6" t="s">
        <v>33</v>
      </c>
      <c r="F6" s="6">
        <v>24072</v>
      </c>
      <c r="G6" s="9"/>
      <c r="H6" s="9"/>
      <c r="I6" s="30"/>
      <c r="J6" s="30" t="s">
        <v>196</v>
      </c>
      <c r="K6" s="6" t="s">
        <v>181</v>
      </c>
      <c r="L6" s="6" t="s">
        <v>222</v>
      </c>
      <c r="M6" s="6" t="s">
        <v>1</v>
      </c>
      <c r="N6" s="6" t="s">
        <v>14</v>
      </c>
      <c r="O6" s="6"/>
    </row>
    <row r="7" spans="1:15" ht="46.5">
      <c r="A7" s="10">
        <v>4</v>
      </c>
      <c r="B7" s="6" t="s">
        <v>248</v>
      </c>
      <c r="C7" s="6" t="s">
        <v>248</v>
      </c>
      <c r="D7" s="30" t="s">
        <v>247</v>
      </c>
      <c r="E7" s="30" t="s">
        <v>10</v>
      </c>
      <c r="F7" s="6">
        <v>24077</v>
      </c>
      <c r="G7" s="9"/>
      <c r="H7" s="9"/>
      <c r="I7" s="30"/>
      <c r="J7" s="30" t="s">
        <v>196</v>
      </c>
      <c r="K7" s="6" t="s">
        <v>181</v>
      </c>
      <c r="L7" s="6" t="s">
        <v>222</v>
      </c>
      <c r="M7" s="6" t="s">
        <v>1</v>
      </c>
      <c r="N7" s="6" t="s">
        <v>14</v>
      </c>
      <c r="O7" s="6"/>
    </row>
    <row r="8" spans="1:15" ht="46.5">
      <c r="A8" s="10">
        <v>5</v>
      </c>
      <c r="B8" s="6" t="s">
        <v>246</v>
      </c>
      <c r="C8" s="6" t="s">
        <v>246</v>
      </c>
      <c r="D8" s="30" t="s">
        <v>245</v>
      </c>
      <c r="E8" s="30" t="s">
        <v>10</v>
      </c>
      <c r="F8" s="6">
        <v>24078</v>
      </c>
      <c r="G8" s="9"/>
      <c r="H8" s="9"/>
      <c r="I8" s="30"/>
      <c r="J8" s="30" t="s">
        <v>196</v>
      </c>
      <c r="K8" s="6" t="s">
        <v>181</v>
      </c>
      <c r="L8" s="6" t="s">
        <v>222</v>
      </c>
      <c r="M8" s="6" t="s">
        <v>1</v>
      </c>
      <c r="N8" s="6" t="s">
        <v>14</v>
      </c>
      <c r="O8" s="6"/>
    </row>
    <row r="9" spans="1:15" ht="46.5">
      <c r="A9" s="10">
        <v>6</v>
      </c>
      <c r="B9" s="6" t="s">
        <v>244</v>
      </c>
      <c r="C9" s="6" t="s">
        <v>244</v>
      </c>
      <c r="D9" s="30" t="s">
        <v>243</v>
      </c>
      <c r="E9" s="30" t="s">
        <v>10</v>
      </c>
      <c r="F9" s="6">
        <v>24079</v>
      </c>
      <c r="G9" s="9"/>
      <c r="H9" s="9"/>
      <c r="I9" s="30"/>
      <c r="J9" s="30" t="s">
        <v>196</v>
      </c>
      <c r="K9" s="6" t="s">
        <v>181</v>
      </c>
      <c r="L9" s="6" t="s">
        <v>222</v>
      </c>
      <c r="M9" s="6" t="s">
        <v>1</v>
      </c>
      <c r="N9" s="6" t="s">
        <v>14</v>
      </c>
      <c r="O9" s="6"/>
    </row>
    <row r="10" spans="1:15" ht="30">
      <c r="A10" s="10">
        <v>7</v>
      </c>
      <c r="B10" s="6" t="s">
        <v>39</v>
      </c>
      <c r="C10" s="6" t="s">
        <v>39</v>
      </c>
      <c r="D10" s="30" t="s">
        <v>242</v>
      </c>
      <c r="E10" s="30" t="s">
        <v>10</v>
      </c>
      <c r="F10" s="6">
        <v>24080</v>
      </c>
      <c r="G10" s="9"/>
      <c r="H10" s="9"/>
      <c r="I10" s="30"/>
      <c r="J10" s="30" t="s">
        <v>196</v>
      </c>
      <c r="K10" s="6" t="s">
        <v>181</v>
      </c>
      <c r="L10" s="6" t="s">
        <v>222</v>
      </c>
      <c r="M10" s="6" t="s">
        <v>1</v>
      </c>
      <c r="N10" s="6" t="s">
        <v>1</v>
      </c>
      <c r="O10" s="6"/>
    </row>
    <row r="11" spans="1:15" ht="30">
      <c r="A11" s="10">
        <v>8</v>
      </c>
      <c r="B11" s="6" t="s">
        <v>38</v>
      </c>
      <c r="C11" s="6" t="s">
        <v>38</v>
      </c>
      <c r="D11" s="30" t="s">
        <v>241</v>
      </c>
      <c r="E11" s="30" t="s">
        <v>10</v>
      </c>
      <c r="F11" s="6">
        <v>24081</v>
      </c>
      <c r="G11" s="9"/>
      <c r="H11" s="9"/>
      <c r="I11" s="30"/>
      <c r="J11" s="30" t="s">
        <v>196</v>
      </c>
      <c r="K11" s="6" t="s">
        <v>181</v>
      </c>
      <c r="L11" s="6" t="s">
        <v>222</v>
      </c>
      <c r="M11" s="6" t="s">
        <v>1</v>
      </c>
      <c r="N11" s="6" t="s">
        <v>1</v>
      </c>
      <c r="O11" s="6"/>
    </row>
    <row r="12" spans="1:15" ht="30">
      <c r="A12" s="10">
        <v>9</v>
      </c>
      <c r="B12" s="6" t="s">
        <v>37</v>
      </c>
      <c r="C12" s="6" t="s">
        <v>37</v>
      </c>
      <c r="D12" s="30" t="s">
        <v>240</v>
      </c>
      <c r="E12" s="30" t="s">
        <v>10</v>
      </c>
      <c r="F12" s="6">
        <v>24082</v>
      </c>
      <c r="G12" s="9"/>
      <c r="H12" s="9"/>
      <c r="I12" s="30"/>
      <c r="J12" s="30" t="s">
        <v>196</v>
      </c>
      <c r="K12" s="6" t="s">
        <v>181</v>
      </c>
      <c r="L12" s="6" t="s">
        <v>222</v>
      </c>
      <c r="M12" s="6" t="s">
        <v>1</v>
      </c>
      <c r="N12" s="6" t="s">
        <v>1</v>
      </c>
      <c r="O12" s="6"/>
    </row>
    <row r="13" spans="1:15">
      <c r="A13" s="10">
        <v>10</v>
      </c>
      <c r="B13" s="6" t="s">
        <v>20</v>
      </c>
      <c r="C13" s="6" t="s">
        <v>20</v>
      </c>
      <c r="D13" s="30" t="s">
        <v>19</v>
      </c>
      <c r="E13" s="30" t="s">
        <v>18</v>
      </c>
      <c r="F13" s="6">
        <v>24086</v>
      </c>
      <c r="G13" s="9"/>
      <c r="H13" s="9"/>
      <c r="I13" s="30"/>
      <c r="J13" s="30" t="s">
        <v>223</v>
      </c>
      <c r="K13" s="6" t="s">
        <v>181</v>
      </c>
      <c r="L13" s="6" t="s">
        <v>222</v>
      </c>
      <c r="M13" s="6" t="s">
        <v>14</v>
      </c>
      <c r="N13" s="6" t="s">
        <v>14</v>
      </c>
      <c r="O13" s="6"/>
    </row>
    <row r="14" spans="1:15">
      <c r="A14" s="2">
        <v>11</v>
      </c>
      <c r="B14" t="s">
        <v>29</v>
      </c>
      <c r="C14" t="s">
        <v>29</v>
      </c>
      <c r="D14" s="29" t="s">
        <v>239</v>
      </c>
      <c r="E14" s="29"/>
      <c r="F14">
        <v>24087</v>
      </c>
      <c r="I14" s="29"/>
      <c r="J14" s="29" t="s">
        <v>223</v>
      </c>
      <c r="K14" t="s">
        <v>181</v>
      </c>
      <c r="L14" t="s">
        <v>222</v>
      </c>
      <c r="M14" t="s">
        <v>1</v>
      </c>
      <c r="N14" t="s">
        <v>1</v>
      </c>
    </row>
    <row r="15" spans="1:15">
      <c r="A15" s="2">
        <v>12</v>
      </c>
      <c r="B15" t="s">
        <v>28</v>
      </c>
      <c r="C15" t="s">
        <v>28</v>
      </c>
      <c r="D15" s="29" t="s">
        <v>238</v>
      </c>
      <c r="E15" s="29"/>
      <c r="F15">
        <v>24088</v>
      </c>
      <c r="I15" s="29"/>
      <c r="J15" s="29" t="s">
        <v>223</v>
      </c>
      <c r="K15" t="s">
        <v>181</v>
      </c>
      <c r="L15" t="s">
        <v>222</v>
      </c>
      <c r="M15" t="s">
        <v>1</v>
      </c>
      <c r="N15" t="s">
        <v>1</v>
      </c>
    </row>
    <row r="16" spans="1:15">
      <c r="A16" s="2">
        <v>13</v>
      </c>
      <c r="B16" t="s">
        <v>27</v>
      </c>
      <c r="C16" t="s">
        <v>27</v>
      </c>
      <c r="D16" s="29" t="s">
        <v>237</v>
      </c>
      <c r="E16" s="29"/>
      <c r="F16">
        <v>24089</v>
      </c>
      <c r="I16" s="29"/>
      <c r="J16" s="29" t="s">
        <v>223</v>
      </c>
      <c r="K16" t="s">
        <v>181</v>
      </c>
      <c r="L16" t="s">
        <v>222</v>
      </c>
      <c r="M16" t="s">
        <v>1</v>
      </c>
      <c r="N16" t="s">
        <v>1</v>
      </c>
    </row>
    <row r="17" spans="1:15">
      <c r="A17" s="10">
        <v>14</v>
      </c>
      <c r="B17" s="6" t="s">
        <v>17</v>
      </c>
      <c r="C17" s="6" t="s">
        <v>17</v>
      </c>
      <c r="D17" s="30" t="s">
        <v>16</v>
      </c>
      <c r="E17" s="30" t="s">
        <v>15</v>
      </c>
      <c r="F17" s="6">
        <v>24090</v>
      </c>
      <c r="G17" s="9"/>
      <c r="H17" s="9"/>
      <c r="I17" s="30"/>
      <c r="J17" s="30" t="s">
        <v>223</v>
      </c>
      <c r="K17" s="6" t="s">
        <v>181</v>
      </c>
      <c r="L17" s="6" t="s">
        <v>222</v>
      </c>
      <c r="M17" s="6" t="s">
        <v>14</v>
      </c>
      <c r="N17" s="6" t="s">
        <v>14</v>
      </c>
      <c r="O17" s="6"/>
    </row>
    <row r="18" spans="1:15">
      <c r="A18" s="2">
        <v>15</v>
      </c>
      <c r="B18" t="s">
        <v>26</v>
      </c>
      <c r="C18" t="s">
        <v>26</v>
      </c>
      <c r="D18" s="29" t="s">
        <v>236</v>
      </c>
      <c r="E18" s="29"/>
      <c r="F18">
        <v>24103</v>
      </c>
      <c r="I18" s="29"/>
      <c r="J18" s="29" t="s">
        <v>223</v>
      </c>
      <c r="K18" t="s">
        <v>181</v>
      </c>
      <c r="L18" t="s">
        <v>222</v>
      </c>
      <c r="M18" t="s">
        <v>1</v>
      </c>
      <c r="N18" t="s">
        <v>1</v>
      </c>
    </row>
    <row r="19" spans="1:15">
      <c r="A19" s="2">
        <v>16</v>
      </c>
      <c r="B19" t="s">
        <v>25</v>
      </c>
      <c r="C19" t="s">
        <v>25</v>
      </c>
      <c r="D19" s="29" t="s">
        <v>236</v>
      </c>
      <c r="E19" s="29"/>
      <c r="F19">
        <v>24104</v>
      </c>
      <c r="I19" s="29"/>
      <c r="J19" s="29" t="s">
        <v>223</v>
      </c>
      <c r="K19" t="s">
        <v>181</v>
      </c>
      <c r="L19" t="s">
        <v>222</v>
      </c>
      <c r="M19" t="s">
        <v>1</v>
      </c>
      <c r="N19" t="s">
        <v>1</v>
      </c>
    </row>
    <row r="20" spans="1:15">
      <c r="A20" s="2">
        <v>17</v>
      </c>
      <c r="B20" t="s">
        <v>24</v>
      </c>
      <c r="C20" t="s">
        <v>24</v>
      </c>
      <c r="D20" s="29" t="s">
        <v>236</v>
      </c>
      <c r="E20" s="29"/>
      <c r="F20">
        <v>24105</v>
      </c>
      <c r="I20" s="29"/>
      <c r="J20" s="29" t="s">
        <v>223</v>
      </c>
      <c r="K20" t="s">
        <v>181</v>
      </c>
      <c r="L20" t="s">
        <v>222</v>
      </c>
      <c r="M20" t="s">
        <v>1</v>
      </c>
      <c r="N20" t="s">
        <v>1</v>
      </c>
    </row>
    <row r="21" spans="1:15">
      <c r="A21" s="10">
        <v>18</v>
      </c>
      <c r="B21" s="6" t="s">
        <v>23</v>
      </c>
      <c r="C21" s="6" t="s">
        <v>23</v>
      </c>
      <c r="D21" s="30" t="s">
        <v>22</v>
      </c>
      <c r="E21" s="30" t="s">
        <v>21</v>
      </c>
      <c r="F21" s="6">
        <v>24085</v>
      </c>
      <c r="G21" s="9"/>
      <c r="H21" s="9"/>
      <c r="I21" s="30"/>
      <c r="J21" s="30" t="s">
        <v>223</v>
      </c>
      <c r="K21" s="6" t="s">
        <v>181</v>
      </c>
      <c r="L21" s="6" t="s">
        <v>222</v>
      </c>
      <c r="M21" s="6" t="s">
        <v>14</v>
      </c>
      <c r="N21" s="6" t="s">
        <v>14</v>
      </c>
      <c r="O21" s="6"/>
    </row>
    <row r="22" spans="1:15">
      <c r="A22" s="2">
        <v>19</v>
      </c>
      <c r="B22" t="s">
        <v>32</v>
      </c>
      <c r="C22" t="s">
        <v>32</v>
      </c>
      <c r="D22" s="29" t="s">
        <v>235</v>
      </c>
      <c r="F22">
        <v>24096</v>
      </c>
      <c r="I22" s="29"/>
      <c r="J22" s="29" t="s">
        <v>223</v>
      </c>
      <c r="K22" t="s">
        <v>181</v>
      </c>
      <c r="L22" t="s">
        <v>222</v>
      </c>
      <c r="M22" t="s">
        <v>1</v>
      </c>
      <c r="N22" t="s">
        <v>1</v>
      </c>
    </row>
    <row r="23" spans="1:15">
      <c r="A23" s="2">
        <v>20</v>
      </c>
      <c r="B23" t="s">
        <v>31</v>
      </c>
      <c r="C23" t="s">
        <v>31</v>
      </c>
      <c r="D23" s="29" t="s">
        <v>234</v>
      </c>
      <c r="F23">
        <v>24097</v>
      </c>
      <c r="I23" s="29"/>
      <c r="J23" s="29" t="s">
        <v>223</v>
      </c>
      <c r="K23" t="s">
        <v>181</v>
      </c>
      <c r="L23" t="s">
        <v>222</v>
      </c>
      <c r="M23" t="s">
        <v>1</v>
      </c>
      <c r="N23" t="s">
        <v>1</v>
      </c>
    </row>
    <row r="24" spans="1:15">
      <c r="A24" s="2">
        <v>21</v>
      </c>
      <c r="B24" t="s">
        <v>30</v>
      </c>
      <c r="C24" t="s">
        <v>30</v>
      </c>
      <c r="D24" s="29" t="s">
        <v>233</v>
      </c>
      <c r="F24">
        <v>24098</v>
      </c>
      <c r="I24" s="29"/>
      <c r="J24" s="29" t="s">
        <v>223</v>
      </c>
      <c r="K24" t="s">
        <v>181</v>
      </c>
      <c r="L24" t="s">
        <v>222</v>
      </c>
      <c r="M24" t="s">
        <v>1</v>
      </c>
      <c r="N24" t="s">
        <v>1</v>
      </c>
    </row>
    <row r="25" spans="1:15">
      <c r="A25" s="10">
        <v>22</v>
      </c>
      <c r="B25" s="6" t="s">
        <v>232</v>
      </c>
      <c r="C25" s="6" t="s">
        <v>232</v>
      </c>
      <c r="D25" s="30" t="s">
        <v>231</v>
      </c>
      <c r="E25" s="30" t="s">
        <v>230</v>
      </c>
      <c r="F25" s="6">
        <v>24114</v>
      </c>
      <c r="G25" s="9"/>
      <c r="H25" s="9"/>
      <c r="I25" s="30"/>
      <c r="J25" s="30" t="s">
        <v>223</v>
      </c>
      <c r="K25" s="6" t="s">
        <v>181</v>
      </c>
      <c r="L25" s="6" t="s">
        <v>222</v>
      </c>
      <c r="M25" s="6" t="s">
        <v>14</v>
      </c>
      <c r="N25" s="6" t="s">
        <v>14</v>
      </c>
      <c r="O25" s="6"/>
    </row>
    <row r="26" spans="1:15">
      <c r="A26" s="2">
        <v>23</v>
      </c>
      <c r="B26" t="s">
        <v>229</v>
      </c>
      <c r="C26" t="s">
        <v>229</v>
      </c>
      <c r="D26" s="29" t="s">
        <v>228</v>
      </c>
      <c r="F26">
        <v>24115</v>
      </c>
      <c r="I26" s="29"/>
      <c r="J26" s="29" t="s">
        <v>223</v>
      </c>
      <c r="K26" t="s">
        <v>181</v>
      </c>
      <c r="L26" t="s">
        <v>222</v>
      </c>
      <c r="M26" t="s">
        <v>1</v>
      </c>
      <c r="N26" t="s">
        <v>1</v>
      </c>
    </row>
    <row r="27" spans="1:15">
      <c r="A27" s="2">
        <v>24</v>
      </c>
      <c r="B27" t="s">
        <v>227</v>
      </c>
      <c r="C27" t="s">
        <v>227</v>
      </c>
      <c r="D27" s="29" t="s">
        <v>226</v>
      </c>
      <c r="F27">
        <v>24116</v>
      </c>
      <c r="I27" s="29"/>
      <c r="J27" s="29" t="s">
        <v>223</v>
      </c>
      <c r="K27" t="s">
        <v>181</v>
      </c>
      <c r="L27" t="s">
        <v>222</v>
      </c>
      <c r="M27" t="s">
        <v>1</v>
      </c>
      <c r="N27" t="s">
        <v>1</v>
      </c>
    </row>
    <row r="28" spans="1:15">
      <c r="A28" s="2">
        <v>25</v>
      </c>
      <c r="B28" t="s">
        <v>225</v>
      </c>
      <c r="C28" t="s">
        <v>225</v>
      </c>
      <c r="D28" s="29" t="s">
        <v>224</v>
      </c>
      <c r="F28">
        <v>24117</v>
      </c>
      <c r="I28" s="29"/>
      <c r="J28" s="29" t="s">
        <v>223</v>
      </c>
      <c r="K28" t="s">
        <v>181</v>
      </c>
      <c r="L28" t="s">
        <v>222</v>
      </c>
      <c r="M28" t="s">
        <v>1</v>
      </c>
      <c r="N28" t="s">
        <v>1</v>
      </c>
    </row>
    <row r="29" spans="1:15">
      <c r="A29" s="10">
        <v>26</v>
      </c>
      <c r="B29" s="6" t="s">
        <v>13</v>
      </c>
      <c r="C29" s="6" t="s">
        <v>13</v>
      </c>
      <c r="D29" s="30" t="s">
        <v>12</v>
      </c>
      <c r="E29" s="30" t="s">
        <v>11</v>
      </c>
      <c r="F29" s="6">
        <v>24118</v>
      </c>
      <c r="G29" s="9"/>
      <c r="H29" s="9"/>
      <c r="I29" s="30"/>
      <c r="J29" s="30" t="s">
        <v>196</v>
      </c>
      <c r="K29" s="6" t="s">
        <v>181</v>
      </c>
      <c r="L29" s="6" t="s">
        <v>222</v>
      </c>
      <c r="M29" s="6" t="s">
        <v>14</v>
      </c>
      <c r="N29" s="6" t="s">
        <v>14</v>
      </c>
      <c r="O29" s="6"/>
    </row>
    <row r="30" spans="1:15" ht="30">
      <c r="A30" s="2">
        <v>27</v>
      </c>
      <c r="B30" t="s">
        <v>221</v>
      </c>
      <c r="C30" t="s">
        <v>221</v>
      </c>
      <c r="D30" s="29" t="s">
        <v>220</v>
      </c>
      <c r="F30">
        <v>24123</v>
      </c>
      <c r="I30" s="29"/>
      <c r="J30" s="29" t="s">
        <v>213</v>
      </c>
      <c r="K30" t="s">
        <v>212</v>
      </c>
      <c r="L30" t="s">
        <v>180</v>
      </c>
      <c r="M30" t="s">
        <v>14</v>
      </c>
      <c r="N30" t="s">
        <v>1</v>
      </c>
    </row>
    <row r="31" spans="1:15" ht="30">
      <c r="A31" s="2">
        <v>28</v>
      </c>
      <c r="B31" t="s">
        <v>219</v>
      </c>
      <c r="C31" t="s">
        <v>219</v>
      </c>
      <c r="D31" s="29" t="s">
        <v>218</v>
      </c>
      <c r="E31" s="29"/>
      <c r="F31">
        <v>24125</v>
      </c>
      <c r="I31" s="29"/>
      <c r="J31" s="29" t="s">
        <v>213</v>
      </c>
      <c r="K31" t="s">
        <v>212</v>
      </c>
      <c r="L31" t="s">
        <v>180</v>
      </c>
      <c r="M31" t="s">
        <v>14</v>
      </c>
      <c r="N31" t="s">
        <v>1</v>
      </c>
    </row>
    <row r="32" spans="1:15" ht="30">
      <c r="A32" s="2">
        <v>29</v>
      </c>
      <c r="B32" t="s">
        <v>217</v>
      </c>
      <c r="C32" t="s">
        <v>217</v>
      </c>
      <c r="D32" s="29" t="s">
        <v>216</v>
      </c>
      <c r="F32">
        <v>24127</v>
      </c>
      <c r="I32" s="29"/>
      <c r="J32" s="29" t="s">
        <v>213</v>
      </c>
      <c r="K32" t="s">
        <v>212</v>
      </c>
      <c r="L32" t="s">
        <v>180</v>
      </c>
      <c r="M32" t="s">
        <v>14</v>
      </c>
      <c r="N32" t="s">
        <v>1</v>
      </c>
    </row>
    <row r="33" spans="1:15" ht="30">
      <c r="A33" s="2">
        <v>30</v>
      </c>
      <c r="B33" t="s">
        <v>215</v>
      </c>
      <c r="C33" t="s">
        <v>215</v>
      </c>
      <c r="D33" s="29" t="s">
        <v>214</v>
      </c>
      <c r="E33" s="29"/>
      <c r="F33">
        <v>24129</v>
      </c>
      <c r="I33" s="29"/>
      <c r="J33" s="29" t="s">
        <v>213</v>
      </c>
      <c r="K33" t="s">
        <v>212</v>
      </c>
      <c r="L33" t="s">
        <v>180</v>
      </c>
      <c r="M33" t="s">
        <v>14</v>
      </c>
      <c r="N33" t="s">
        <v>1</v>
      </c>
    </row>
    <row r="34" spans="1:15">
      <c r="B34"/>
      <c r="D34" s="29"/>
      <c r="E34" s="29"/>
      <c r="I34" s="29"/>
      <c r="J34" s="29"/>
    </row>
    <row r="35" spans="1:15" ht="18.75">
      <c r="A35" s="79" t="s">
        <v>211</v>
      </c>
      <c r="B35" s="80"/>
      <c r="C35" s="81"/>
      <c r="D35" s="81"/>
      <c r="E35" s="81"/>
      <c r="F35" s="81"/>
      <c r="G35" s="81"/>
      <c r="H35" s="81"/>
      <c r="I35" s="81"/>
      <c r="J35" s="81"/>
      <c r="K35" s="82"/>
      <c r="L35" s="82"/>
      <c r="M35" s="82"/>
      <c r="N35" s="82"/>
      <c r="O35" s="83"/>
    </row>
    <row r="36" spans="1:15" ht="75">
      <c r="A36" s="15" t="s">
        <v>9</v>
      </c>
      <c r="B36" s="16" t="s">
        <v>171</v>
      </c>
      <c r="C36" s="15" t="s">
        <v>210</v>
      </c>
      <c r="D36" s="15" t="s">
        <v>7</v>
      </c>
      <c r="E36" s="15"/>
      <c r="F36" s="16" t="s">
        <v>41</v>
      </c>
      <c r="G36" s="28" t="s">
        <v>209</v>
      </c>
      <c r="H36" s="28"/>
      <c r="I36" s="16" t="s">
        <v>3</v>
      </c>
      <c r="J36" s="16" t="s">
        <v>208</v>
      </c>
      <c r="K36" s="16" t="s">
        <v>207</v>
      </c>
      <c r="L36" s="16" t="s">
        <v>206</v>
      </c>
      <c r="M36" s="16" t="s">
        <v>167</v>
      </c>
      <c r="N36" s="16" t="s">
        <v>205</v>
      </c>
      <c r="O36" s="15" t="s">
        <v>165</v>
      </c>
    </row>
    <row r="37" spans="1:15" ht="30">
      <c r="A37" s="26">
        <v>1</v>
      </c>
      <c r="B37" s="23" t="s">
        <v>204</v>
      </c>
      <c r="C37" s="23" t="s">
        <v>204</v>
      </c>
      <c r="D37" s="24" t="s">
        <v>203</v>
      </c>
      <c r="E37" s="24"/>
      <c r="F37" s="23">
        <v>23298</v>
      </c>
      <c r="G37" s="27"/>
      <c r="H37" s="27"/>
      <c r="I37" s="24"/>
      <c r="J37" s="24" t="s">
        <v>196</v>
      </c>
      <c r="K37" s="23" t="s">
        <v>181</v>
      </c>
      <c r="L37" s="23" t="s">
        <v>180</v>
      </c>
      <c r="M37" s="23" t="s">
        <v>14</v>
      </c>
      <c r="N37" s="23" t="s">
        <v>1</v>
      </c>
      <c r="O37" s="23"/>
    </row>
    <row r="38" spans="1:15" ht="30">
      <c r="A38" s="26">
        <v>2</v>
      </c>
      <c r="B38" s="23" t="s">
        <v>202</v>
      </c>
      <c r="C38" s="23" t="s">
        <v>202</v>
      </c>
      <c r="D38" s="24" t="s">
        <v>201</v>
      </c>
      <c r="E38" s="24"/>
      <c r="F38" s="23">
        <v>23306</v>
      </c>
      <c r="G38" s="27"/>
      <c r="H38" s="27"/>
      <c r="I38" s="24"/>
      <c r="J38" s="24" t="s">
        <v>196</v>
      </c>
      <c r="K38" s="23" t="s">
        <v>181</v>
      </c>
      <c r="L38" s="23" t="s">
        <v>180</v>
      </c>
      <c r="M38" s="23" t="s">
        <v>14</v>
      </c>
      <c r="N38" s="23" t="s">
        <v>1</v>
      </c>
      <c r="O38" s="23"/>
    </row>
    <row r="39" spans="1:15" ht="30">
      <c r="A39" s="26">
        <v>3</v>
      </c>
      <c r="B39" s="23" t="s">
        <v>200</v>
      </c>
      <c r="C39" s="23" t="s">
        <v>200</v>
      </c>
      <c r="D39" s="24" t="s">
        <v>199</v>
      </c>
      <c r="E39" s="24"/>
      <c r="F39" s="23">
        <v>23307</v>
      </c>
      <c r="G39" s="27"/>
      <c r="H39" s="27"/>
      <c r="I39" s="24"/>
      <c r="J39" s="24" t="s">
        <v>196</v>
      </c>
      <c r="K39" s="23" t="s">
        <v>181</v>
      </c>
      <c r="L39" s="23" t="s">
        <v>180</v>
      </c>
      <c r="M39" s="23" t="s">
        <v>14</v>
      </c>
      <c r="N39" s="23" t="s">
        <v>1</v>
      </c>
      <c r="O39" s="23"/>
    </row>
    <row r="40" spans="1:15" ht="30">
      <c r="A40" s="26">
        <v>4</v>
      </c>
      <c r="B40" s="23" t="s">
        <v>198</v>
      </c>
      <c r="C40" s="23" t="s">
        <v>198</v>
      </c>
      <c r="D40" s="24" t="s">
        <v>197</v>
      </c>
      <c r="E40" s="24"/>
      <c r="F40" s="23">
        <v>23308</v>
      </c>
      <c r="G40" s="27"/>
      <c r="H40" s="27"/>
      <c r="I40" s="24"/>
      <c r="J40" s="24" t="s">
        <v>196</v>
      </c>
      <c r="K40" s="23" t="s">
        <v>181</v>
      </c>
      <c r="L40" s="23" t="s">
        <v>180</v>
      </c>
      <c r="M40" s="23" t="s">
        <v>14</v>
      </c>
      <c r="N40" s="23" t="s">
        <v>1</v>
      </c>
      <c r="O40" s="23"/>
    </row>
    <row r="41" spans="1:15" ht="45">
      <c r="A41" s="26">
        <v>5</v>
      </c>
      <c r="B41" s="23" t="s">
        <v>195</v>
      </c>
      <c r="C41" s="23" t="s">
        <v>195</v>
      </c>
      <c r="D41" s="24" t="s">
        <v>194</v>
      </c>
      <c r="E41" s="24"/>
      <c r="F41" s="23">
        <v>24122</v>
      </c>
      <c r="G41" s="25" t="s">
        <v>182</v>
      </c>
      <c r="H41" s="25"/>
      <c r="I41" s="24"/>
      <c r="J41" s="24" t="s">
        <v>190</v>
      </c>
      <c r="K41" s="23" t="s">
        <v>181</v>
      </c>
      <c r="L41" s="23" t="s">
        <v>180</v>
      </c>
      <c r="M41" s="23" t="s">
        <v>1</v>
      </c>
      <c r="N41" s="23" t="s">
        <v>14</v>
      </c>
      <c r="O41" s="23"/>
    </row>
    <row r="42" spans="1:15" ht="45">
      <c r="A42" s="26">
        <v>6</v>
      </c>
      <c r="B42" s="23" t="s">
        <v>193</v>
      </c>
      <c r="C42" s="23" t="s">
        <v>193</v>
      </c>
      <c r="D42" s="24" t="s">
        <v>192</v>
      </c>
      <c r="E42" s="24"/>
      <c r="F42" s="23">
        <v>24123</v>
      </c>
      <c r="G42" s="25" t="s">
        <v>191</v>
      </c>
      <c r="H42" s="25"/>
      <c r="I42" s="24"/>
      <c r="J42" s="24" t="s">
        <v>190</v>
      </c>
      <c r="K42" s="23" t="s">
        <v>181</v>
      </c>
      <c r="L42" s="23" t="s">
        <v>180</v>
      </c>
      <c r="M42" s="23" t="s">
        <v>1</v>
      </c>
      <c r="N42" s="23" t="s">
        <v>14</v>
      </c>
      <c r="O42" s="23"/>
    </row>
    <row r="43" spans="1:15">
      <c r="A43" s="26">
        <v>7</v>
      </c>
      <c r="B43" s="23" t="s">
        <v>189</v>
      </c>
      <c r="C43" s="23" t="s">
        <v>189</v>
      </c>
      <c r="D43" s="24" t="s">
        <v>188</v>
      </c>
      <c r="E43" s="24"/>
      <c r="F43" s="23">
        <v>23317</v>
      </c>
      <c r="G43" s="25" t="s">
        <v>182</v>
      </c>
      <c r="H43" s="25"/>
      <c r="I43" s="24">
        <v>0</v>
      </c>
      <c r="J43" s="24"/>
      <c r="K43" s="23" t="s">
        <v>181</v>
      </c>
      <c r="L43" s="23" t="s">
        <v>180</v>
      </c>
      <c r="M43" s="23" t="s">
        <v>1</v>
      </c>
      <c r="N43" s="23" t="s">
        <v>14</v>
      </c>
      <c r="O43" s="23"/>
    </row>
    <row r="44" spans="1:15" ht="30">
      <c r="A44" s="26">
        <v>8</v>
      </c>
      <c r="B44" s="23" t="s">
        <v>187</v>
      </c>
      <c r="C44" s="23" t="s">
        <v>186</v>
      </c>
      <c r="D44" s="24" t="s">
        <v>185</v>
      </c>
      <c r="E44" s="24"/>
      <c r="F44" s="23">
        <v>23317</v>
      </c>
      <c r="G44" s="25" t="s">
        <v>182</v>
      </c>
      <c r="H44" s="25"/>
      <c r="I44" s="24">
        <v>1</v>
      </c>
      <c r="J44" s="24"/>
      <c r="K44" s="23" t="s">
        <v>181</v>
      </c>
      <c r="L44" s="23" t="s">
        <v>180</v>
      </c>
      <c r="M44" s="23" t="s">
        <v>1</v>
      </c>
      <c r="N44" s="23" t="s">
        <v>14</v>
      </c>
      <c r="O44" s="23"/>
    </row>
    <row r="45" spans="1:15">
      <c r="A45" s="26">
        <v>9</v>
      </c>
      <c r="B45" s="23" t="s">
        <v>184</v>
      </c>
      <c r="C45" s="23" t="s">
        <v>184</v>
      </c>
      <c r="D45" s="24" t="s">
        <v>183</v>
      </c>
      <c r="E45" s="24"/>
      <c r="F45" s="23">
        <v>23317</v>
      </c>
      <c r="G45" s="25" t="s">
        <v>182</v>
      </c>
      <c r="H45" s="25"/>
      <c r="I45" s="24">
        <v>2</v>
      </c>
      <c r="J45" s="24"/>
      <c r="K45" s="23" t="s">
        <v>181</v>
      </c>
      <c r="L45" s="23" t="s">
        <v>180</v>
      </c>
      <c r="M45" s="23" t="s">
        <v>1</v>
      </c>
      <c r="N45" s="23" t="s">
        <v>14</v>
      </c>
      <c r="O45" s="23"/>
    </row>
    <row r="46" spans="1:15" s="5" customFormat="1">
      <c r="A46" s="22">
        <v>10</v>
      </c>
      <c r="B46" s="19"/>
      <c r="C46" s="19" t="s">
        <v>179</v>
      </c>
      <c r="D46" s="20"/>
      <c r="E46" s="20"/>
      <c r="F46" s="19"/>
      <c r="G46" s="21"/>
      <c r="H46" s="21"/>
      <c r="I46" s="20" t="s">
        <v>176</v>
      </c>
      <c r="J46" s="20"/>
      <c r="K46" s="19" t="s">
        <v>173</v>
      </c>
      <c r="L46" s="19"/>
      <c r="M46" s="19"/>
      <c r="N46" s="19"/>
      <c r="O46" s="84" t="s">
        <v>178</v>
      </c>
    </row>
    <row r="47" spans="1:15" s="5" customFormat="1">
      <c r="A47" s="22">
        <v>11</v>
      </c>
      <c r="B47" s="19"/>
      <c r="C47" s="19" t="s">
        <v>177</v>
      </c>
      <c r="D47" s="20"/>
      <c r="E47" s="20"/>
      <c r="F47" s="19"/>
      <c r="G47" s="21"/>
      <c r="H47" s="21"/>
      <c r="I47" s="20" t="s">
        <v>176</v>
      </c>
      <c r="J47" s="20"/>
      <c r="K47" s="19" t="s">
        <v>173</v>
      </c>
      <c r="L47" s="19"/>
      <c r="M47" s="19"/>
      <c r="N47" s="19"/>
      <c r="O47" s="85"/>
    </row>
    <row r="48" spans="1:15" s="5" customFormat="1" ht="60">
      <c r="A48" s="22">
        <v>12</v>
      </c>
      <c r="B48" s="19"/>
      <c r="C48" s="19" t="s">
        <v>175</v>
      </c>
      <c r="D48" s="20"/>
      <c r="E48" s="20"/>
      <c r="F48" s="19"/>
      <c r="G48" s="21"/>
      <c r="H48" s="21"/>
      <c r="I48" s="20" t="s">
        <v>174</v>
      </c>
      <c r="J48" s="20"/>
      <c r="K48" s="19" t="s">
        <v>173</v>
      </c>
      <c r="L48" s="19"/>
      <c r="M48" s="19"/>
      <c r="N48" s="19"/>
      <c r="O48" s="86"/>
    </row>
    <row r="50" spans="1:16" ht="18.75">
      <c r="A50" s="79" t="s">
        <v>172</v>
      </c>
      <c r="B50" s="80"/>
      <c r="C50" s="81"/>
      <c r="D50" s="81"/>
      <c r="E50" s="81"/>
      <c r="F50" s="81"/>
      <c r="G50" s="81"/>
      <c r="H50" s="81"/>
      <c r="I50" s="81"/>
      <c r="J50" s="81"/>
      <c r="K50" s="82"/>
      <c r="L50" s="82"/>
      <c r="M50" s="82"/>
      <c r="N50" s="82"/>
      <c r="O50" s="83"/>
    </row>
    <row r="51" spans="1:16" ht="45">
      <c r="A51" s="18" t="s">
        <v>9</v>
      </c>
      <c r="B51" s="16" t="s">
        <v>171</v>
      </c>
      <c r="C51" s="15" t="s">
        <v>8</v>
      </c>
      <c r="D51" s="15" t="s">
        <v>7</v>
      </c>
      <c r="E51" s="15"/>
      <c r="F51" s="15" t="s">
        <v>6</v>
      </c>
      <c r="G51" s="17" t="s">
        <v>4</v>
      </c>
      <c r="H51" s="17"/>
      <c r="I51" s="16" t="s">
        <v>170</v>
      </c>
      <c r="J51" s="15" t="s">
        <v>5</v>
      </c>
      <c r="K51" s="16" t="s">
        <v>169</v>
      </c>
      <c r="L51" s="16" t="s">
        <v>168</v>
      </c>
      <c r="M51" s="16" t="s">
        <v>167</v>
      </c>
      <c r="N51" s="16" t="s">
        <v>166</v>
      </c>
      <c r="O51" s="15" t="s">
        <v>165</v>
      </c>
    </row>
    <row r="52" spans="1:16">
      <c r="A52" s="10">
        <v>1</v>
      </c>
      <c r="B52" s="72" t="s">
        <v>164</v>
      </c>
      <c r="C52" s="6" t="s">
        <v>163</v>
      </c>
      <c r="D52" s="6" t="s">
        <v>162</v>
      </c>
      <c r="E52" s="6"/>
      <c r="F52" s="7">
        <v>1</v>
      </c>
      <c r="G52" s="9" t="s">
        <v>47</v>
      </c>
      <c r="H52" s="9" t="s">
        <v>256</v>
      </c>
      <c r="I52" s="8" t="s">
        <v>151</v>
      </c>
      <c r="J52" s="6" t="s">
        <v>46</v>
      </c>
      <c r="K52" s="7" t="s">
        <v>137</v>
      </c>
      <c r="L52" s="7" t="s">
        <v>1</v>
      </c>
      <c r="M52" s="7" t="s">
        <v>14</v>
      </c>
      <c r="N52" s="6" t="s">
        <v>43</v>
      </c>
      <c r="O52" s="6" t="s">
        <v>161</v>
      </c>
    </row>
    <row r="53" spans="1:16">
      <c r="A53" s="10">
        <v>2</v>
      </c>
      <c r="B53" s="72"/>
      <c r="C53" s="6" t="s">
        <v>160</v>
      </c>
      <c r="D53" s="6" t="s">
        <v>159</v>
      </c>
      <c r="E53" s="6"/>
      <c r="F53" s="7">
        <v>1</v>
      </c>
      <c r="G53" s="9"/>
      <c r="H53" s="9"/>
      <c r="I53" s="8" t="s">
        <v>148</v>
      </c>
      <c r="J53" s="6" t="s">
        <v>46</v>
      </c>
      <c r="K53" s="7" t="s">
        <v>137</v>
      </c>
      <c r="L53" s="7" t="s">
        <v>1</v>
      </c>
      <c r="M53" s="7" t="s">
        <v>14</v>
      </c>
      <c r="N53" s="6" t="s">
        <v>43</v>
      </c>
      <c r="O53" s="6"/>
      <c r="P53" s="71"/>
    </row>
    <row r="54" spans="1:16">
      <c r="A54" s="10">
        <v>3</v>
      </c>
      <c r="B54" s="72"/>
      <c r="C54" s="6" t="s">
        <v>158</v>
      </c>
      <c r="D54" s="6" t="s">
        <v>157</v>
      </c>
      <c r="E54" s="6"/>
      <c r="F54" s="7">
        <v>1</v>
      </c>
      <c r="G54" s="9"/>
      <c r="H54" s="9"/>
      <c r="I54" s="8" t="s">
        <v>145</v>
      </c>
      <c r="J54" s="6" t="s">
        <v>46</v>
      </c>
      <c r="K54" s="7" t="s">
        <v>137</v>
      </c>
      <c r="L54" s="7" t="s">
        <v>1</v>
      </c>
      <c r="M54" s="7" t="s">
        <v>14</v>
      </c>
      <c r="N54" s="6" t="s">
        <v>43</v>
      </c>
      <c r="O54" s="6"/>
      <c r="P54" s="71"/>
    </row>
    <row r="55" spans="1:16">
      <c r="A55" s="10">
        <v>4</v>
      </c>
      <c r="B55" s="72"/>
      <c r="C55" s="6" t="s">
        <v>156</v>
      </c>
      <c r="D55" s="6" t="s">
        <v>155</v>
      </c>
      <c r="E55" s="6"/>
      <c r="F55" s="7">
        <v>1</v>
      </c>
      <c r="G55" s="9"/>
      <c r="H55" s="9"/>
      <c r="I55" s="8" t="s">
        <v>142</v>
      </c>
      <c r="J55" s="6" t="s">
        <v>46</v>
      </c>
      <c r="K55" s="7" t="s">
        <v>137</v>
      </c>
      <c r="L55" s="7" t="s">
        <v>1</v>
      </c>
      <c r="M55" s="7" t="s">
        <v>14</v>
      </c>
      <c r="N55" s="6" t="s">
        <v>43</v>
      </c>
      <c r="O55" s="6"/>
      <c r="P55" s="71"/>
    </row>
    <row r="56" spans="1:16">
      <c r="A56" s="10">
        <v>5</v>
      </c>
      <c r="B56" s="72" t="s">
        <v>154</v>
      </c>
      <c r="C56" s="6" t="s">
        <v>153</v>
      </c>
      <c r="D56" s="6" t="s">
        <v>152</v>
      </c>
      <c r="E56" s="6"/>
      <c r="F56" s="7">
        <v>1</v>
      </c>
      <c r="G56" s="9" t="s">
        <v>256</v>
      </c>
      <c r="H56" s="9" t="s">
        <v>256</v>
      </c>
      <c r="I56" s="8" t="s">
        <v>151</v>
      </c>
      <c r="J56" s="6" t="s">
        <v>46</v>
      </c>
      <c r="K56" s="7" t="s">
        <v>137</v>
      </c>
      <c r="L56" s="7" t="s">
        <v>1</v>
      </c>
      <c r="M56" s="7" t="s">
        <v>14</v>
      </c>
      <c r="N56" s="6" t="s">
        <v>43</v>
      </c>
      <c r="O56" s="6"/>
      <c r="P56" s="71"/>
    </row>
    <row r="57" spans="1:16">
      <c r="A57" s="10">
        <v>6</v>
      </c>
      <c r="B57" s="72"/>
      <c r="C57" s="6" t="s">
        <v>150</v>
      </c>
      <c r="D57" s="6" t="s">
        <v>149</v>
      </c>
      <c r="E57" s="6"/>
      <c r="F57" s="7">
        <v>1</v>
      </c>
      <c r="G57" s="9"/>
      <c r="H57" s="9"/>
      <c r="I57" s="8" t="s">
        <v>148</v>
      </c>
      <c r="J57" s="6" t="s">
        <v>46</v>
      </c>
      <c r="K57" s="7" t="s">
        <v>137</v>
      </c>
      <c r="L57" s="7" t="s">
        <v>1</v>
      </c>
      <c r="M57" s="7" t="s">
        <v>14</v>
      </c>
      <c r="N57" s="6" t="s">
        <v>43</v>
      </c>
      <c r="O57" s="6"/>
      <c r="P57" s="71"/>
    </row>
    <row r="58" spans="1:16">
      <c r="A58" s="10">
        <v>7</v>
      </c>
      <c r="B58" s="72"/>
      <c r="C58" s="6" t="s">
        <v>147</v>
      </c>
      <c r="D58" s="6" t="s">
        <v>146</v>
      </c>
      <c r="E58" s="6"/>
      <c r="F58" s="7">
        <v>1</v>
      </c>
      <c r="G58" s="9"/>
      <c r="H58" s="9"/>
      <c r="I58" s="8" t="s">
        <v>145</v>
      </c>
      <c r="J58" s="6" t="s">
        <v>46</v>
      </c>
      <c r="K58" s="7" t="s">
        <v>137</v>
      </c>
      <c r="L58" s="7" t="s">
        <v>1</v>
      </c>
      <c r="M58" s="7" t="s">
        <v>14</v>
      </c>
      <c r="N58" s="6" t="s">
        <v>43</v>
      </c>
      <c r="O58" s="6"/>
      <c r="P58" s="71"/>
    </row>
    <row r="59" spans="1:16">
      <c r="A59" s="10">
        <v>8</v>
      </c>
      <c r="B59" s="72"/>
      <c r="C59" s="6" t="s">
        <v>144</v>
      </c>
      <c r="D59" s="6" t="s">
        <v>143</v>
      </c>
      <c r="E59" s="6"/>
      <c r="F59" s="7">
        <v>1</v>
      </c>
      <c r="G59" s="9"/>
      <c r="H59" s="9"/>
      <c r="I59" s="8" t="s">
        <v>142</v>
      </c>
      <c r="J59" s="6" t="s">
        <v>46</v>
      </c>
      <c r="K59" s="7" t="s">
        <v>137</v>
      </c>
      <c r="L59" s="7" t="s">
        <v>1</v>
      </c>
      <c r="M59" s="7" t="s">
        <v>14</v>
      </c>
      <c r="N59" s="6" t="s">
        <v>43</v>
      </c>
      <c r="O59" s="6"/>
      <c r="P59" s="71"/>
    </row>
    <row r="60" spans="1:16">
      <c r="A60" s="2">
        <v>9</v>
      </c>
      <c r="B60" s="73" t="s">
        <v>141</v>
      </c>
      <c r="C60" t="s">
        <v>141</v>
      </c>
      <c r="D60" t="s">
        <v>139</v>
      </c>
      <c r="F60" s="3">
        <v>1</v>
      </c>
      <c r="G60" s="1" t="s">
        <v>138</v>
      </c>
      <c r="H60" s="1" t="s">
        <v>0</v>
      </c>
      <c r="I60" s="4" t="s">
        <v>0</v>
      </c>
      <c r="J60" t="s">
        <v>46</v>
      </c>
      <c r="K60" s="3" t="s">
        <v>137</v>
      </c>
      <c r="L60" s="3" t="s">
        <v>1</v>
      </c>
      <c r="M60" s="3" t="s">
        <v>14</v>
      </c>
      <c r="N60" t="s">
        <v>43</v>
      </c>
    </row>
    <row r="61" spans="1:16">
      <c r="A61" s="2">
        <v>10</v>
      </c>
      <c r="B61" s="73"/>
      <c r="C61" t="s">
        <v>140</v>
      </c>
      <c r="D61" t="s">
        <v>139</v>
      </c>
      <c r="F61" s="3">
        <v>1</v>
      </c>
      <c r="I61" s="4" t="s">
        <v>108</v>
      </c>
      <c r="J61" t="s">
        <v>46</v>
      </c>
      <c r="K61" s="3" t="s">
        <v>137</v>
      </c>
      <c r="L61" s="3" t="s">
        <v>1</v>
      </c>
      <c r="M61" s="3" t="s">
        <v>14</v>
      </c>
      <c r="N61" t="s">
        <v>43</v>
      </c>
    </row>
    <row r="62" spans="1:16">
      <c r="A62" s="2">
        <v>11</v>
      </c>
      <c r="B62" s="73" t="s">
        <v>136</v>
      </c>
      <c r="C62" t="s">
        <v>136</v>
      </c>
      <c r="D62" t="s">
        <v>134</v>
      </c>
      <c r="F62" s="3">
        <v>1</v>
      </c>
      <c r="G62" s="1" t="s">
        <v>133</v>
      </c>
      <c r="H62" s="1" t="s">
        <v>0</v>
      </c>
      <c r="I62" s="4" t="s">
        <v>112</v>
      </c>
      <c r="J62" t="s">
        <v>46</v>
      </c>
      <c r="K62" s="3" t="s">
        <v>132</v>
      </c>
      <c r="L62" s="3" t="s">
        <v>101</v>
      </c>
      <c r="M62" s="3" t="s">
        <v>14</v>
      </c>
      <c r="N62" t="s">
        <v>43</v>
      </c>
    </row>
    <row r="63" spans="1:16">
      <c r="A63" s="2">
        <v>12</v>
      </c>
      <c r="B63" s="73"/>
      <c r="C63" t="s">
        <v>135</v>
      </c>
      <c r="D63" t="s">
        <v>134</v>
      </c>
      <c r="F63" s="3">
        <v>1</v>
      </c>
      <c r="I63" s="4" t="s">
        <v>108</v>
      </c>
      <c r="J63" t="s">
        <v>46</v>
      </c>
      <c r="K63" s="3" t="s">
        <v>132</v>
      </c>
      <c r="L63" s="3" t="s">
        <v>101</v>
      </c>
      <c r="M63" s="3" t="s">
        <v>14</v>
      </c>
      <c r="N63" t="s">
        <v>43</v>
      </c>
    </row>
    <row r="64" spans="1:16">
      <c r="A64" s="2">
        <v>13</v>
      </c>
      <c r="B64" s="73" t="s">
        <v>131</v>
      </c>
      <c r="C64" t="s">
        <v>130</v>
      </c>
      <c r="D64" t="s">
        <v>128</v>
      </c>
      <c r="F64" s="3">
        <v>1</v>
      </c>
      <c r="G64" s="1" t="s">
        <v>127</v>
      </c>
      <c r="H64" s="1" t="s">
        <v>0</v>
      </c>
      <c r="I64" s="4" t="s">
        <v>112</v>
      </c>
      <c r="J64" t="s">
        <v>46</v>
      </c>
      <c r="K64" s="3" t="s">
        <v>102</v>
      </c>
      <c r="L64" s="3" t="s">
        <v>101</v>
      </c>
      <c r="M64" s="3" t="s">
        <v>14</v>
      </c>
      <c r="N64" t="s">
        <v>43</v>
      </c>
    </row>
    <row r="65" spans="1:14">
      <c r="A65" s="2">
        <v>13</v>
      </c>
      <c r="B65" s="73"/>
      <c r="C65" t="s">
        <v>129</v>
      </c>
      <c r="D65" t="s">
        <v>128</v>
      </c>
      <c r="F65" s="3">
        <v>1</v>
      </c>
      <c r="I65" s="4" t="s">
        <v>108</v>
      </c>
      <c r="J65" t="s">
        <v>46</v>
      </c>
      <c r="K65" s="3" t="s">
        <v>102</v>
      </c>
      <c r="L65" s="3" t="s">
        <v>101</v>
      </c>
      <c r="M65" s="3" t="s">
        <v>14</v>
      </c>
      <c r="N65" t="s">
        <v>43</v>
      </c>
    </row>
    <row r="66" spans="1:14">
      <c r="A66" s="2">
        <v>14</v>
      </c>
      <c r="B66" s="73" t="s">
        <v>126</v>
      </c>
      <c r="C66" t="s">
        <v>126</v>
      </c>
      <c r="D66" t="s">
        <v>124</v>
      </c>
      <c r="F66" s="3">
        <v>1</v>
      </c>
      <c r="G66" s="1" t="s">
        <v>123</v>
      </c>
      <c r="H66" s="1" t="s">
        <v>0</v>
      </c>
      <c r="I66" s="4" t="s">
        <v>112</v>
      </c>
      <c r="J66" t="s">
        <v>46</v>
      </c>
      <c r="K66" s="3" t="s">
        <v>45</v>
      </c>
      <c r="L66" s="3" t="s">
        <v>44</v>
      </c>
      <c r="M66" s="3" t="s">
        <v>14</v>
      </c>
      <c r="N66" t="s">
        <v>43</v>
      </c>
    </row>
    <row r="67" spans="1:14">
      <c r="A67" s="2">
        <v>14</v>
      </c>
      <c r="B67" s="73"/>
      <c r="C67" t="s">
        <v>125</v>
      </c>
      <c r="D67" t="s">
        <v>124</v>
      </c>
      <c r="F67" s="3">
        <v>1</v>
      </c>
      <c r="I67" s="4" t="s">
        <v>108</v>
      </c>
      <c r="J67" t="s">
        <v>46</v>
      </c>
      <c r="K67" s="3" t="s">
        <v>45</v>
      </c>
      <c r="L67" s="3" t="s">
        <v>44</v>
      </c>
      <c r="M67" s="3" t="s">
        <v>14</v>
      </c>
      <c r="N67" t="s">
        <v>43</v>
      </c>
    </row>
    <row r="68" spans="1:14">
      <c r="A68" s="2">
        <v>15</v>
      </c>
      <c r="B68" s="73" t="s">
        <v>122</v>
      </c>
      <c r="C68" t="s">
        <v>122</v>
      </c>
      <c r="D68" t="s">
        <v>120</v>
      </c>
      <c r="F68" s="3">
        <v>1</v>
      </c>
      <c r="G68" s="1" t="s">
        <v>119</v>
      </c>
      <c r="H68" s="1" t="s">
        <v>0</v>
      </c>
      <c r="I68" s="4" t="s">
        <v>112</v>
      </c>
      <c r="J68" t="s">
        <v>46</v>
      </c>
      <c r="K68" s="3" t="s">
        <v>45</v>
      </c>
      <c r="L68" s="3" t="s">
        <v>44</v>
      </c>
      <c r="M68" s="3" t="s">
        <v>14</v>
      </c>
      <c r="N68" t="s">
        <v>43</v>
      </c>
    </row>
    <row r="69" spans="1:14">
      <c r="A69" s="2">
        <v>15</v>
      </c>
      <c r="B69" s="73"/>
      <c r="C69" t="s">
        <v>121</v>
      </c>
      <c r="D69" t="s">
        <v>120</v>
      </c>
      <c r="F69" s="3">
        <v>1</v>
      </c>
      <c r="I69" s="4" t="s">
        <v>108</v>
      </c>
      <c r="J69" t="s">
        <v>46</v>
      </c>
      <c r="K69" s="3" t="s">
        <v>45</v>
      </c>
      <c r="L69" s="3" t="s">
        <v>44</v>
      </c>
      <c r="M69" s="3" t="s">
        <v>14</v>
      </c>
      <c r="N69" t="s">
        <v>43</v>
      </c>
    </row>
    <row r="70" spans="1:14">
      <c r="A70" s="2">
        <v>16</v>
      </c>
      <c r="B70" s="73" t="s">
        <v>118</v>
      </c>
      <c r="C70" t="s">
        <v>118</v>
      </c>
      <c r="D70" t="s">
        <v>116</v>
      </c>
      <c r="F70" s="3">
        <v>1</v>
      </c>
      <c r="G70" s="1" t="s">
        <v>115</v>
      </c>
      <c r="H70" s="1" t="s">
        <v>0</v>
      </c>
      <c r="I70" s="4" t="s">
        <v>112</v>
      </c>
      <c r="J70" t="s">
        <v>46</v>
      </c>
      <c r="K70" s="3" t="s">
        <v>45</v>
      </c>
      <c r="L70" s="3" t="s">
        <v>44</v>
      </c>
      <c r="M70" s="3" t="s">
        <v>14</v>
      </c>
      <c r="N70" t="s">
        <v>43</v>
      </c>
    </row>
    <row r="71" spans="1:14">
      <c r="A71" s="2">
        <v>16</v>
      </c>
      <c r="B71" s="73"/>
      <c r="C71" t="s">
        <v>117</v>
      </c>
      <c r="D71" t="s">
        <v>116</v>
      </c>
      <c r="F71" s="3">
        <v>1</v>
      </c>
      <c r="I71" s="4" t="s">
        <v>108</v>
      </c>
      <c r="J71" t="s">
        <v>46</v>
      </c>
      <c r="K71" s="3" t="s">
        <v>45</v>
      </c>
      <c r="L71" s="3" t="s">
        <v>44</v>
      </c>
      <c r="M71" s="3" t="s">
        <v>14</v>
      </c>
      <c r="N71" t="s">
        <v>43</v>
      </c>
    </row>
    <row r="72" spans="1:14">
      <c r="A72" s="2">
        <v>17</v>
      </c>
      <c r="B72" s="73" t="s">
        <v>114</v>
      </c>
      <c r="C72" t="s">
        <v>113</v>
      </c>
      <c r="D72" t="s">
        <v>110</v>
      </c>
      <c r="F72" s="3">
        <v>1</v>
      </c>
      <c r="G72" s="1" t="s">
        <v>109</v>
      </c>
      <c r="H72" s="1" t="s">
        <v>0</v>
      </c>
      <c r="I72" s="4" t="s">
        <v>112</v>
      </c>
      <c r="J72" t="s">
        <v>46</v>
      </c>
      <c r="K72" s="3" t="s">
        <v>102</v>
      </c>
      <c r="L72" s="3" t="s">
        <v>101</v>
      </c>
      <c r="M72" s="3" t="s">
        <v>14</v>
      </c>
      <c r="N72" t="s">
        <v>43</v>
      </c>
    </row>
    <row r="73" spans="1:14">
      <c r="A73" s="2">
        <v>17</v>
      </c>
      <c r="B73" s="73"/>
      <c r="C73" t="s">
        <v>111</v>
      </c>
      <c r="D73" t="s">
        <v>110</v>
      </c>
      <c r="F73" s="3">
        <v>1</v>
      </c>
      <c r="I73" s="4" t="s">
        <v>108</v>
      </c>
      <c r="J73" t="s">
        <v>46</v>
      </c>
      <c r="K73" s="3" t="s">
        <v>102</v>
      </c>
      <c r="L73" s="3" t="s">
        <v>101</v>
      </c>
      <c r="M73" s="3" t="s">
        <v>14</v>
      </c>
      <c r="N73" t="s">
        <v>43</v>
      </c>
    </row>
    <row r="74" spans="1:14">
      <c r="A74" s="2">
        <v>18</v>
      </c>
      <c r="B74" s="73" t="s">
        <v>107</v>
      </c>
      <c r="C74" t="s">
        <v>106</v>
      </c>
      <c r="D74" t="s">
        <v>104</v>
      </c>
      <c r="F74" s="3">
        <v>1</v>
      </c>
      <c r="G74" s="1" t="s">
        <v>103</v>
      </c>
      <c r="H74" s="1" t="s">
        <v>0</v>
      </c>
      <c r="I74" s="4" t="s">
        <v>0</v>
      </c>
      <c r="J74" t="s">
        <v>46</v>
      </c>
      <c r="K74" s="3" t="s">
        <v>102</v>
      </c>
      <c r="L74" s="3" t="s">
        <v>101</v>
      </c>
      <c r="M74" s="3" t="s">
        <v>14</v>
      </c>
      <c r="N74" t="s">
        <v>43</v>
      </c>
    </row>
    <row r="75" spans="1:14">
      <c r="A75" s="2">
        <v>18</v>
      </c>
      <c r="B75" s="73"/>
      <c r="C75" t="s">
        <v>105</v>
      </c>
      <c r="D75" t="s">
        <v>104</v>
      </c>
      <c r="F75" s="3">
        <v>1</v>
      </c>
      <c r="I75" s="4" t="s">
        <v>47</v>
      </c>
      <c r="J75" t="s">
        <v>46</v>
      </c>
      <c r="K75" s="3" t="s">
        <v>102</v>
      </c>
      <c r="L75" s="3" t="s">
        <v>101</v>
      </c>
      <c r="M75" s="3" t="s">
        <v>14</v>
      </c>
      <c r="N75" t="s">
        <v>43</v>
      </c>
    </row>
    <row r="76" spans="1:14">
      <c r="A76" s="10">
        <v>19</v>
      </c>
      <c r="B76" s="72" t="s">
        <v>100</v>
      </c>
      <c r="C76" s="6" t="s">
        <v>99</v>
      </c>
      <c r="D76" s="6" t="s">
        <v>98</v>
      </c>
      <c r="E76" s="6"/>
      <c r="F76" s="7">
        <v>1</v>
      </c>
      <c r="G76" s="9" t="s">
        <v>257</v>
      </c>
      <c r="H76" s="9" t="s">
        <v>258</v>
      </c>
      <c r="I76" s="8" t="s">
        <v>97</v>
      </c>
      <c r="J76" s="6" t="s">
        <v>46</v>
      </c>
      <c r="K76" s="7" t="s">
        <v>2</v>
      </c>
      <c r="L76" s="7" t="s">
        <v>1</v>
      </c>
      <c r="M76" s="7" t="s">
        <v>14</v>
      </c>
      <c r="N76" s="6" t="s">
        <v>43</v>
      </c>
    </row>
    <row r="77" spans="1:14">
      <c r="A77" s="10">
        <v>19</v>
      </c>
      <c r="B77" s="72"/>
      <c r="C77" s="6" t="s">
        <v>96</v>
      </c>
      <c r="D77" s="6" t="s">
        <v>95</v>
      </c>
      <c r="E77" s="6"/>
      <c r="F77" s="7">
        <v>1</v>
      </c>
      <c r="G77" s="9"/>
      <c r="H77" s="9"/>
      <c r="I77" s="8" t="s">
        <v>94</v>
      </c>
      <c r="J77" s="6" t="s">
        <v>46</v>
      </c>
      <c r="K77" s="7" t="s">
        <v>81</v>
      </c>
      <c r="L77" s="7" t="s">
        <v>80</v>
      </c>
      <c r="M77" s="7" t="s">
        <v>14</v>
      </c>
      <c r="N77" s="6" t="s">
        <v>43</v>
      </c>
    </row>
    <row r="78" spans="1:14">
      <c r="A78" s="10">
        <v>19</v>
      </c>
      <c r="B78" s="72"/>
      <c r="C78" s="6" t="s">
        <v>93</v>
      </c>
      <c r="D78" s="6" t="s">
        <v>92</v>
      </c>
      <c r="E78" s="6"/>
      <c r="F78" s="7">
        <v>1</v>
      </c>
      <c r="G78" s="9"/>
      <c r="H78" s="9"/>
      <c r="I78" s="8" t="s">
        <v>91</v>
      </c>
      <c r="J78" s="6" t="s">
        <v>46</v>
      </c>
      <c r="K78" s="7" t="s">
        <v>81</v>
      </c>
      <c r="L78" s="7" t="s">
        <v>80</v>
      </c>
      <c r="M78" s="7" t="s">
        <v>14</v>
      </c>
      <c r="N78" s="6" t="s">
        <v>43</v>
      </c>
    </row>
    <row r="79" spans="1:14">
      <c r="A79" s="10">
        <v>19</v>
      </c>
      <c r="B79" s="72"/>
      <c r="C79" s="6" t="s">
        <v>90</v>
      </c>
      <c r="D79" s="6" t="s">
        <v>89</v>
      </c>
      <c r="E79" s="6"/>
      <c r="F79" s="7">
        <v>1</v>
      </c>
      <c r="G79" s="9"/>
      <c r="H79" s="9"/>
      <c r="I79" s="8" t="s">
        <v>88</v>
      </c>
      <c r="J79" s="6" t="s">
        <v>46</v>
      </c>
      <c r="K79" s="7" t="s">
        <v>81</v>
      </c>
      <c r="L79" s="7" t="s">
        <v>80</v>
      </c>
      <c r="M79" s="7" t="s">
        <v>14</v>
      </c>
      <c r="N79" s="6" t="s">
        <v>43</v>
      </c>
    </row>
    <row r="80" spans="1:14">
      <c r="A80" s="10">
        <v>19</v>
      </c>
      <c r="B80" s="72"/>
      <c r="C80" s="6" t="s">
        <v>87</v>
      </c>
      <c r="D80" s="6" t="s">
        <v>86</v>
      </c>
      <c r="E80" s="6"/>
      <c r="F80" s="7">
        <v>1</v>
      </c>
      <c r="G80" s="9"/>
      <c r="H80" s="9"/>
      <c r="I80" s="8" t="s">
        <v>85</v>
      </c>
      <c r="J80" s="6" t="s">
        <v>46</v>
      </c>
      <c r="K80" s="7" t="s">
        <v>81</v>
      </c>
      <c r="L80" s="7" t="s">
        <v>80</v>
      </c>
      <c r="M80" s="7" t="s">
        <v>14</v>
      </c>
      <c r="N80" s="6" t="s">
        <v>43</v>
      </c>
    </row>
    <row r="81" spans="1:15">
      <c r="A81" s="10">
        <v>19</v>
      </c>
      <c r="B81" s="72"/>
      <c r="C81" s="6" t="s">
        <v>84</v>
      </c>
      <c r="D81" s="6" t="s">
        <v>83</v>
      </c>
      <c r="E81" s="6"/>
      <c r="F81" s="7">
        <v>1</v>
      </c>
      <c r="G81" s="9"/>
      <c r="H81" s="9"/>
      <c r="I81" s="8" t="s">
        <v>82</v>
      </c>
      <c r="J81" s="6" t="s">
        <v>46</v>
      </c>
      <c r="K81" s="7" t="s">
        <v>81</v>
      </c>
      <c r="L81" s="7" t="s">
        <v>80</v>
      </c>
      <c r="M81" s="7" t="s">
        <v>14</v>
      </c>
      <c r="N81" s="6" t="s">
        <v>43</v>
      </c>
    </row>
    <row r="82" spans="1:15">
      <c r="A82" s="10">
        <v>19</v>
      </c>
      <c r="B82" s="72"/>
      <c r="C82" s="6" t="s">
        <v>79</v>
      </c>
      <c r="D82" s="6" t="s">
        <v>78</v>
      </c>
      <c r="E82" s="6"/>
      <c r="F82" s="7">
        <v>1</v>
      </c>
      <c r="G82" s="9"/>
      <c r="H82" s="9"/>
      <c r="I82" s="8" t="s">
        <v>77</v>
      </c>
      <c r="J82" s="6" t="s">
        <v>46</v>
      </c>
      <c r="K82" s="7" t="s">
        <v>45</v>
      </c>
      <c r="L82" s="7" t="s">
        <v>44</v>
      </c>
      <c r="M82" s="7" t="s">
        <v>14</v>
      </c>
      <c r="N82" s="6" t="s">
        <v>43</v>
      </c>
    </row>
    <row r="83" spans="1:15" s="5" customFormat="1">
      <c r="A83" s="14">
        <v>20</v>
      </c>
      <c r="B83" s="88" t="s">
        <v>76</v>
      </c>
      <c r="C83" s="5" t="s">
        <v>75</v>
      </c>
      <c r="D83" s="5" t="s">
        <v>73</v>
      </c>
      <c r="F83" s="11">
        <v>1</v>
      </c>
      <c r="G83" s="13" t="s">
        <v>72</v>
      </c>
      <c r="H83" s="13" t="s">
        <v>0</v>
      </c>
      <c r="I83" s="12" t="s">
        <v>0</v>
      </c>
      <c r="J83" s="5" t="s">
        <v>46</v>
      </c>
      <c r="K83" s="11" t="s">
        <v>45</v>
      </c>
      <c r="L83" s="11" t="s">
        <v>44</v>
      </c>
      <c r="M83" s="11" t="s">
        <v>14</v>
      </c>
      <c r="N83" s="5" t="s">
        <v>43</v>
      </c>
    </row>
    <row r="84" spans="1:15" s="5" customFormat="1">
      <c r="A84" s="14">
        <v>20</v>
      </c>
      <c r="B84" s="88"/>
      <c r="C84" s="5" t="s">
        <v>74</v>
      </c>
      <c r="D84" s="5" t="s">
        <v>73</v>
      </c>
      <c r="F84" s="11">
        <v>1</v>
      </c>
      <c r="G84" s="13"/>
      <c r="H84" s="13"/>
      <c r="I84" s="12" t="s">
        <v>47</v>
      </c>
      <c r="J84" s="5" t="s">
        <v>46</v>
      </c>
      <c r="K84" s="11" t="s">
        <v>45</v>
      </c>
      <c r="L84" s="11" t="s">
        <v>44</v>
      </c>
      <c r="M84" s="11" t="s">
        <v>14</v>
      </c>
      <c r="N84" s="5" t="s">
        <v>43</v>
      </c>
    </row>
    <row r="85" spans="1:15">
      <c r="A85" s="2">
        <v>21</v>
      </c>
      <c r="B85" s="73" t="s">
        <v>71</v>
      </c>
      <c r="C85" t="s">
        <v>70</v>
      </c>
      <c r="D85" t="s">
        <v>68</v>
      </c>
      <c r="F85" s="3">
        <v>23565</v>
      </c>
      <c r="G85" s="1" t="s">
        <v>47</v>
      </c>
      <c r="H85" s="1" t="s">
        <v>119</v>
      </c>
      <c r="I85" s="4" t="s">
        <v>0</v>
      </c>
      <c r="J85" t="s">
        <v>46</v>
      </c>
      <c r="K85" s="3" t="s">
        <v>45</v>
      </c>
      <c r="L85" s="3" t="s">
        <v>44</v>
      </c>
      <c r="M85" s="3" t="s">
        <v>14</v>
      </c>
      <c r="N85" t="s">
        <v>43</v>
      </c>
    </row>
    <row r="86" spans="1:15">
      <c r="A86" s="2">
        <v>21</v>
      </c>
      <c r="B86" s="73"/>
      <c r="C86" t="s">
        <v>69</v>
      </c>
      <c r="D86" t="s">
        <v>68</v>
      </c>
      <c r="F86" s="3">
        <v>23565</v>
      </c>
      <c r="G86" s="1" t="s">
        <v>119</v>
      </c>
      <c r="H86" s="1" t="s">
        <v>119</v>
      </c>
      <c r="I86" s="4" t="s">
        <v>47</v>
      </c>
      <c r="J86" t="s">
        <v>46</v>
      </c>
      <c r="K86" s="3" t="s">
        <v>45</v>
      </c>
      <c r="L86" s="3" t="s">
        <v>44</v>
      </c>
      <c r="M86" s="3" t="s">
        <v>14</v>
      </c>
      <c r="N86" t="s">
        <v>43</v>
      </c>
    </row>
    <row r="87" spans="1:15">
      <c r="A87" s="2">
        <v>22</v>
      </c>
      <c r="B87" s="73" t="s">
        <v>67</v>
      </c>
      <c r="C87" t="s">
        <v>66</v>
      </c>
      <c r="D87" t="s">
        <v>64</v>
      </c>
      <c r="F87" s="3">
        <v>23565</v>
      </c>
      <c r="G87" s="1" t="s">
        <v>63</v>
      </c>
      <c r="I87" s="4" t="s">
        <v>0</v>
      </c>
      <c r="J87" t="s">
        <v>46</v>
      </c>
      <c r="K87" s="3" t="s">
        <v>45</v>
      </c>
      <c r="L87" s="3" t="s">
        <v>44</v>
      </c>
      <c r="M87" s="3" t="s">
        <v>14</v>
      </c>
      <c r="N87" t="s">
        <v>43</v>
      </c>
    </row>
    <row r="88" spans="1:15">
      <c r="A88" s="2">
        <v>22</v>
      </c>
      <c r="B88" s="73"/>
      <c r="C88" t="s">
        <v>65</v>
      </c>
      <c r="D88" t="s">
        <v>64</v>
      </c>
      <c r="F88" s="3">
        <v>23565</v>
      </c>
      <c r="G88" s="1" t="s">
        <v>63</v>
      </c>
      <c r="I88" s="4" t="s">
        <v>47</v>
      </c>
      <c r="J88" t="s">
        <v>46</v>
      </c>
      <c r="K88" s="3" t="s">
        <v>45</v>
      </c>
      <c r="L88" s="3" t="s">
        <v>44</v>
      </c>
      <c r="M88" s="3" t="s">
        <v>14</v>
      </c>
      <c r="N88" t="s">
        <v>43</v>
      </c>
    </row>
    <row r="89" spans="1:15">
      <c r="A89" s="10">
        <v>23</v>
      </c>
      <c r="B89" s="72" t="s">
        <v>62</v>
      </c>
      <c r="C89" s="6" t="s">
        <v>61</v>
      </c>
      <c r="D89" s="6" t="s">
        <v>59</v>
      </c>
      <c r="E89" s="6"/>
      <c r="F89" s="7">
        <v>23565</v>
      </c>
      <c r="G89" s="9" t="s">
        <v>58</v>
      </c>
      <c r="H89" s="9"/>
      <c r="I89" s="8" t="s">
        <v>0</v>
      </c>
      <c r="J89" s="6" t="s">
        <v>46</v>
      </c>
      <c r="K89" s="7" t="s">
        <v>45</v>
      </c>
      <c r="L89" s="7" t="s">
        <v>44</v>
      </c>
      <c r="M89" s="7" t="s">
        <v>14</v>
      </c>
      <c r="N89" s="6" t="s">
        <v>43</v>
      </c>
    </row>
    <row r="90" spans="1:15">
      <c r="A90" s="10">
        <v>23</v>
      </c>
      <c r="B90" s="72"/>
      <c r="C90" s="6" t="s">
        <v>60</v>
      </c>
      <c r="D90" s="6" t="s">
        <v>59</v>
      </c>
      <c r="E90" s="6"/>
      <c r="F90" s="7">
        <v>23565</v>
      </c>
      <c r="G90" s="9" t="s">
        <v>58</v>
      </c>
      <c r="H90" s="9"/>
      <c r="I90" s="8" t="s">
        <v>47</v>
      </c>
      <c r="J90" s="6" t="s">
        <v>46</v>
      </c>
      <c r="K90" s="7" t="s">
        <v>45</v>
      </c>
      <c r="L90" s="7" t="s">
        <v>44</v>
      </c>
      <c r="M90" s="7" t="s">
        <v>14</v>
      </c>
      <c r="N90" s="6" t="s">
        <v>43</v>
      </c>
    </row>
    <row r="91" spans="1:15">
      <c r="A91" s="2">
        <v>24</v>
      </c>
      <c r="B91" s="73" t="s">
        <v>57</v>
      </c>
      <c r="C91" t="s">
        <v>56</v>
      </c>
      <c r="D91" t="s">
        <v>54</v>
      </c>
      <c r="F91" s="3">
        <v>23565</v>
      </c>
      <c r="G91" s="1" t="s">
        <v>53</v>
      </c>
      <c r="I91" s="4" t="s">
        <v>0</v>
      </c>
      <c r="J91" t="s">
        <v>46</v>
      </c>
      <c r="K91" s="3" t="s">
        <v>45</v>
      </c>
      <c r="L91" s="3" t="s">
        <v>44</v>
      </c>
      <c r="M91" s="3" t="s">
        <v>14</v>
      </c>
      <c r="N91" t="s">
        <v>43</v>
      </c>
    </row>
    <row r="92" spans="1:15">
      <c r="A92" s="2">
        <v>24</v>
      </c>
      <c r="B92" s="73"/>
      <c r="C92" t="s">
        <v>55</v>
      </c>
      <c r="D92" t="s">
        <v>54</v>
      </c>
      <c r="F92" s="3">
        <v>23565</v>
      </c>
      <c r="G92" s="1" t="s">
        <v>53</v>
      </c>
      <c r="I92" s="4" t="s">
        <v>47</v>
      </c>
      <c r="J92" t="s">
        <v>46</v>
      </c>
      <c r="K92" s="3" t="s">
        <v>45</v>
      </c>
      <c r="L92" s="3" t="s">
        <v>44</v>
      </c>
      <c r="M92" s="3" t="s">
        <v>14</v>
      </c>
      <c r="N92" t="s">
        <v>43</v>
      </c>
    </row>
    <row r="93" spans="1:15">
      <c r="A93" s="2">
        <v>25</v>
      </c>
      <c r="B93" s="73" t="s">
        <v>52</v>
      </c>
      <c r="C93" t="s">
        <v>51</v>
      </c>
      <c r="D93" t="s">
        <v>49</v>
      </c>
      <c r="F93" s="3">
        <v>23565</v>
      </c>
      <c r="G93" s="1" t="s">
        <v>48</v>
      </c>
      <c r="I93" s="4" t="s">
        <v>0</v>
      </c>
      <c r="J93" t="s">
        <v>46</v>
      </c>
      <c r="K93" s="3" t="s">
        <v>45</v>
      </c>
      <c r="L93" s="3" t="s">
        <v>44</v>
      </c>
      <c r="M93" s="3" t="s">
        <v>14</v>
      </c>
      <c r="N93" t="s">
        <v>43</v>
      </c>
    </row>
    <row r="94" spans="1:15">
      <c r="A94" s="2">
        <v>25</v>
      </c>
      <c r="B94" s="73"/>
      <c r="C94" t="s">
        <v>50</v>
      </c>
      <c r="D94" t="s">
        <v>49</v>
      </c>
      <c r="F94" s="3">
        <v>23565</v>
      </c>
      <c r="G94" s="1" t="s">
        <v>48</v>
      </c>
      <c r="I94" s="4" t="s">
        <v>47</v>
      </c>
      <c r="J94" t="s">
        <v>46</v>
      </c>
      <c r="K94" s="3" t="s">
        <v>45</v>
      </c>
      <c r="L94" s="3" t="s">
        <v>44</v>
      </c>
      <c r="M94" s="3" t="s">
        <v>14</v>
      </c>
      <c r="N94" t="s">
        <v>43</v>
      </c>
    </row>
    <row r="96" spans="1:15">
      <c r="A96" s="73" t="s">
        <v>42</v>
      </c>
      <c r="B96" s="73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</row>
  </sheetData>
  <mergeCells count="24">
    <mergeCell ref="B76:B82"/>
    <mergeCell ref="B85:B86"/>
    <mergeCell ref="A96:O96"/>
    <mergeCell ref="A35:O35"/>
    <mergeCell ref="B87:B88"/>
    <mergeCell ref="B89:B90"/>
    <mergeCell ref="B91:B92"/>
    <mergeCell ref="B93:B94"/>
    <mergeCell ref="B70:B71"/>
    <mergeCell ref="B72:B73"/>
    <mergeCell ref="B74:B75"/>
    <mergeCell ref="B83:B84"/>
    <mergeCell ref="B66:B67"/>
    <mergeCell ref="B68:B69"/>
    <mergeCell ref="A1:O1"/>
    <mergeCell ref="A2:O2"/>
    <mergeCell ref="A50:O50"/>
    <mergeCell ref="O46:O48"/>
    <mergeCell ref="B52:B55"/>
    <mergeCell ref="P53:P59"/>
    <mergeCell ref="B56:B59"/>
    <mergeCell ref="B60:B61"/>
    <mergeCell ref="B62:B63"/>
    <mergeCell ref="B64:B65"/>
  </mergeCells>
  <pageMargins left="0.7" right="0.7" top="0.75" bottom="0.75" header="0.3" footer="0.3"/>
  <pageSetup paperSize="9"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CBB5C-EE98-4A0C-A767-7AF9596FB9CA}">
  <sheetPr codeName="Sheet2"/>
  <dimension ref="A1:M46"/>
  <sheetViews>
    <sheetView zoomScale="85" zoomScaleNormal="85" workbookViewId="0">
      <selection activeCell="E29" sqref="E29"/>
    </sheetView>
  </sheetViews>
  <sheetFormatPr defaultColWidth="8.85546875" defaultRowHeight="15"/>
  <cols>
    <col min="1" max="1" width="3.85546875" style="31" bestFit="1" customWidth="1"/>
    <col min="2" max="2" width="3.85546875" customWidth="1"/>
    <col min="3" max="3" width="39.42578125" style="29" customWidth="1"/>
    <col min="4" max="5" width="9.140625"/>
    <col min="6" max="6" width="9.140625" style="29"/>
    <col min="7" max="7" width="12.5703125" bestFit="1" customWidth="1"/>
    <col min="8" max="8" width="7.42578125" bestFit="1" customWidth="1"/>
    <col min="9" max="10" width="9.140625"/>
    <col min="11" max="12" width="7.28515625" style="29" customWidth="1"/>
    <col min="13" max="13" width="9.140625" customWidth="1"/>
    <col min="14" max="16384" width="8.85546875" style="64"/>
  </cols>
  <sheetData>
    <row r="1" spans="1:13">
      <c r="A1" s="31">
        <v>1</v>
      </c>
      <c r="B1" s="32">
        <v>3</v>
      </c>
      <c r="C1" t="s">
        <v>259</v>
      </c>
      <c r="D1" s="32">
        <f>K1-1</f>
        <v>0</v>
      </c>
      <c r="E1" s="32">
        <f>L1-1</f>
        <v>47</v>
      </c>
      <c r="F1" s="29">
        <f>E1-D1+1</f>
        <v>48</v>
      </c>
      <c r="G1" s="32" t="s">
        <v>285</v>
      </c>
      <c r="H1" s="32">
        <v>502</v>
      </c>
      <c r="I1" s="29">
        <v>125</v>
      </c>
      <c r="J1" s="32"/>
      <c r="K1">
        <v>1</v>
      </c>
      <c r="L1">
        <v>48</v>
      </c>
      <c r="M1" s="32"/>
    </row>
    <row r="2" spans="1:13">
      <c r="A2" s="35">
        <v>2</v>
      </c>
      <c r="B2" s="32">
        <v>3</v>
      </c>
      <c r="C2" s="29" t="s">
        <v>260</v>
      </c>
      <c r="D2" s="34">
        <f t="shared" ref="D2:D40" si="0">K2-1</f>
        <v>64</v>
      </c>
      <c r="E2" s="34">
        <f t="shared" ref="E2:E40" si="1">L2-1</f>
        <v>67</v>
      </c>
      <c r="F2" s="29">
        <f t="shared" ref="F2:F40" si="2">E2-D2+1</f>
        <v>4</v>
      </c>
      <c r="G2" s="33" t="s">
        <v>285</v>
      </c>
      <c r="H2" s="33">
        <v>502</v>
      </c>
      <c r="I2" s="29">
        <v>125</v>
      </c>
      <c r="J2" s="32"/>
      <c r="K2">
        <v>65</v>
      </c>
      <c r="L2">
        <v>68</v>
      </c>
      <c r="M2" s="32"/>
    </row>
    <row r="3" spans="1:13">
      <c r="A3" s="35">
        <v>3</v>
      </c>
      <c r="B3" s="32">
        <v>3</v>
      </c>
      <c r="C3" t="s">
        <v>261</v>
      </c>
      <c r="D3" s="34">
        <f t="shared" si="0"/>
        <v>70</v>
      </c>
      <c r="E3" s="34">
        <f t="shared" si="1"/>
        <v>87</v>
      </c>
      <c r="F3" s="29">
        <f t="shared" si="2"/>
        <v>18</v>
      </c>
      <c r="G3" s="33" t="s">
        <v>285</v>
      </c>
      <c r="H3" s="33">
        <v>502</v>
      </c>
      <c r="I3" s="29">
        <v>125</v>
      </c>
      <c r="J3" s="32"/>
      <c r="K3" s="29">
        <v>71</v>
      </c>
      <c r="L3">
        <v>88</v>
      </c>
      <c r="M3" s="32"/>
    </row>
    <row r="4" spans="1:13">
      <c r="A4" s="35">
        <v>4</v>
      </c>
      <c r="B4" s="32">
        <v>3</v>
      </c>
      <c r="C4" t="s">
        <v>262</v>
      </c>
      <c r="D4" s="34">
        <f t="shared" si="0"/>
        <v>100</v>
      </c>
      <c r="E4" s="34">
        <f t="shared" si="1"/>
        <v>101</v>
      </c>
      <c r="F4" s="29">
        <f t="shared" si="2"/>
        <v>2</v>
      </c>
      <c r="G4" s="33" t="s">
        <v>285</v>
      </c>
      <c r="H4" s="33">
        <v>502</v>
      </c>
      <c r="I4" s="29">
        <v>125</v>
      </c>
      <c r="J4" s="32"/>
      <c r="K4">
        <v>101</v>
      </c>
      <c r="L4">
        <v>102</v>
      </c>
      <c r="M4" s="32"/>
    </row>
    <row r="5" spans="1:13">
      <c r="A5" s="35">
        <v>5</v>
      </c>
      <c r="B5" s="31">
        <v>3</v>
      </c>
      <c r="C5" t="s">
        <v>263</v>
      </c>
      <c r="D5" s="34">
        <f t="shared" si="0"/>
        <v>110</v>
      </c>
      <c r="E5" s="34">
        <f t="shared" si="1"/>
        <v>111</v>
      </c>
      <c r="F5" s="29">
        <f t="shared" si="2"/>
        <v>2</v>
      </c>
      <c r="G5" s="33" t="s">
        <v>285</v>
      </c>
      <c r="H5" s="33">
        <v>502</v>
      </c>
      <c r="I5" s="29">
        <v>125</v>
      </c>
      <c r="K5">
        <v>111</v>
      </c>
      <c r="L5">
        <v>112</v>
      </c>
    </row>
    <row r="6" spans="1:13">
      <c r="A6" s="35">
        <v>6</v>
      </c>
      <c r="B6" s="31">
        <v>3</v>
      </c>
      <c r="C6" t="s">
        <v>264</v>
      </c>
      <c r="D6" s="34">
        <f t="shared" si="0"/>
        <v>112</v>
      </c>
      <c r="E6" s="34">
        <f t="shared" si="1"/>
        <v>112</v>
      </c>
      <c r="F6" s="29">
        <f t="shared" si="2"/>
        <v>1</v>
      </c>
      <c r="G6" s="33" t="s">
        <v>285</v>
      </c>
      <c r="H6" s="33">
        <v>502</v>
      </c>
      <c r="I6" s="29">
        <v>125</v>
      </c>
      <c r="K6">
        <v>113</v>
      </c>
      <c r="L6">
        <v>113</v>
      </c>
    </row>
    <row r="7" spans="1:13">
      <c r="A7" s="35">
        <v>7</v>
      </c>
      <c r="B7" s="31">
        <v>3</v>
      </c>
      <c r="C7" t="s">
        <v>265</v>
      </c>
      <c r="D7" s="34">
        <f t="shared" si="0"/>
        <v>113</v>
      </c>
      <c r="E7" s="34">
        <f t="shared" si="1"/>
        <v>113</v>
      </c>
      <c r="F7" s="29">
        <f t="shared" si="2"/>
        <v>1</v>
      </c>
      <c r="G7" s="33" t="s">
        <v>285</v>
      </c>
      <c r="H7" s="33">
        <v>502</v>
      </c>
      <c r="I7" s="29">
        <v>125</v>
      </c>
      <c r="K7">
        <v>114</v>
      </c>
      <c r="L7">
        <v>114</v>
      </c>
    </row>
    <row r="8" spans="1:13">
      <c r="A8" s="35">
        <v>8</v>
      </c>
      <c r="B8" s="34">
        <v>3</v>
      </c>
      <c r="C8" t="s">
        <v>266</v>
      </c>
      <c r="D8" s="34">
        <f t="shared" si="0"/>
        <v>130</v>
      </c>
      <c r="E8" s="34">
        <f t="shared" si="1"/>
        <v>130</v>
      </c>
      <c r="F8" s="29">
        <f t="shared" si="2"/>
        <v>1</v>
      </c>
      <c r="G8" s="33" t="s">
        <v>285</v>
      </c>
      <c r="H8" s="33">
        <v>502</v>
      </c>
      <c r="I8" s="29">
        <v>125</v>
      </c>
      <c r="K8">
        <v>131</v>
      </c>
      <c r="L8">
        <v>131</v>
      </c>
    </row>
    <row r="9" spans="1:13">
      <c r="A9" s="35">
        <v>9</v>
      </c>
      <c r="B9" s="34">
        <v>3</v>
      </c>
      <c r="C9" t="s">
        <v>267</v>
      </c>
      <c r="D9" s="34">
        <f t="shared" si="0"/>
        <v>140</v>
      </c>
      <c r="E9" s="34">
        <f t="shared" si="1"/>
        <v>140</v>
      </c>
      <c r="F9" s="29">
        <f t="shared" si="2"/>
        <v>1</v>
      </c>
      <c r="G9" s="33" t="s">
        <v>285</v>
      </c>
      <c r="H9" s="33">
        <v>502</v>
      </c>
      <c r="I9" s="29">
        <v>125</v>
      </c>
      <c r="K9">
        <v>141</v>
      </c>
      <c r="L9">
        <v>141</v>
      </c>
    </row>
    <row r="10" spans="1:13">
      <c r="A10" s="35">
        <v>10</v>
      </c>
      <c r="B10" s="34">
        <v>3</v>
      </c>
      <c r="C10" t="s">
        <v>268</v>
      </c>
      <c r="D10" s="34">
        <f t="shared" si="0"/>
        <v>200</v>
      </c>
      <c r="E10" s="34">
        <f t="shared" si="1"/>
        <v>321</v>
      </c>
      <c r="F10" s="29">
        <f t="shared" si="2"/>
        <v>122</v>
      </c>
      <c r="G10" s="33" t="s">
        <v>285</v>
      </c>
      <c r="H10" s="33">
        <v>502</v>
      </c>
      <c r="I10" s="29">
        <v>125</v>
      </c>
      <c r="K10">
        <v>201</v>
      </c>
      <c r="L10">
        <v>322</v>
      </c>
    </row>
    <row r="11" spans="1:13">
      <c r="A11" s="35">
        <v>11</v>
      </c>
      <c r="B11" s="34">
        <v>3</v>
      </c>
      <c r="C11" t="s">
        <v>269</v>
      </c>
      <c r="D11" s="34">
        <f t="shared" si="0"/>
        <v>322</v>
      </c>
      <c r="E11" s="34">
        <f t="shared" si="1"/>
        <v>357</v>
      </c>
      <c r="F11" s="29">
        <f t="shared" si="2"/>
        <v>36</v>
      </c>
      <c r="G11" s="33" t="s">
        <v>285</v>
      </c>
      <c r="H11" s="34">
        <v>502</v>
      </c>
      <c r="I11" s="29">
        <v>125</v>
      </c>
      <c r="K11">
        <v>323</v>
      </c>
      <c r="L11">
        <v>358</v>
      </c>
    </row>
    <row r="12" spans="1:13" ht="45">
      <c r="A12" s="35">
        <v>12</v>
      </c>
      <c r="B12" s="34">
        <v>3</v>
      </c>
      <c r="C12" s="29" t="s">
        <v>270</v>
      </c>
      <c r="D12" s="34">
        <f t="shared" si="0"/>
        <v>391</v>
      </c>
      <c r="E12" s="34">
        <f t="shared" si="1"/>
        <v>394</v>
      </c>
      <c r="F12" s="29">
        <f t="shared" si="2"/>
        <v>4</v>
      </c>
      <c r="G12" s="34" t="s">
        <v>285</v>
      </c>
      <c r="H12" s="34">
        <v>502</v>
      </c>
      <c r="I12" s="29">
        <v>125</v>
      </c>
      <c r="K12">
        <v>392</v>
      </c>
      <c r="L12">
        <v>395</v>
      </c>
    </row>
    <row r="13" spans="1:13">
      <c r="A13" s="35">
        <v>13</v>
      </c>
      <c r="B13" s="34">
        <v>3</v>
      </c>
      <c r="C13" t="s">
        <v>271</v>
      </c>
      <c r="D13" s="34">
        <f t="shared" si="0"/>
        <v>395</v>
      </c>
      <c r="E13" s="34">
        <f t="shared" si="1"/>
        <v>398</v>
      </c>
      <c r="F13" s="29">
        <f t="shared" si="2"/>
        <v>4</v>
      </c>
      <c r="G13" s="34" t="s">
        <v>285</v>
      </c>
      <c r="H13" s="34">
        <v>502</v>
      </c>
      <c r="I13" s="29">
        <v>125</v>
      </c>
      <c r="K13">
        <v>396</v>
      </c>
      <c r="L13">
        <v>399</v>
      </c>
    </row>
    <row r="14" spans="1:13">
      <c r="A14" s="36">
        <v>14</v>
      </c>
      <c r="B14" s="36">
        <v>3</v>
      </c>
      <c r="C14" s="36" t="s">
        <v>272</v>
      </c>
      <c r="D14" s="36">
        <f t="shared" si="0"/>
        <v>400</v>
      </c>
      <c r="E14" s="36">
        <v>519</v>
      </c>
      <c r="F14" s="37">
        <f t="shared" si="2"/>
        <v>120</v>
      </c>
      <c r="G14" s="36" t="s">
        <v>285</v>
      </c>
      <c r="H14" s="36">
        <v>502</v>
      </c>
      <c r="I14" s="37">
        <v>125</v>
      </c>
      <c r="J14" s="36"/>
      <c r="K14" s="36">
        <v>401</v>
      </c>
      <c r="L14" s="36">
        <v>760</v>
      </c>
      <c r="M14" s="36"/>
    </row>
    <row r="15" spans="1:13">
      <c r="A15" s="36">
        <v>15</v>
      </c>
      <c r="B15" s="36">
        <v>3</v>
      </c>
      <c r="C15" s="36" t="s">
        <v>286</v>
      </c>
      <c r="D15" s="36">
        <v>520</v>
      </c>
      <c r="E15" s="36">
        <v>639</v>
      </c>
      <c r="F15" s="37">
        <f t="shared" si="2"/>
        <v>120</v>
      </c>
      <c r="G15" s="36" t="s">
        <v>285</v>
      </c>
      <c r="H15" s="36">
        <v>502</v>
      </c>
      <c r="I15" s="37">
        <v>125</v>
      </c>
      <c r="J15" s="36"/>
      <c r="K15" s="36"/>
      <c r="L15" s="36"/>
      <c r="M15" s="36"/>
    </row>
    <row r="16" spans="1:13">
      <c r="A16" s="36">
        <v>16</v>
      </c>
      <c r="B16" s="36">
        <v>3</v>
      </c>
      <c r="C16" s="36" t="s">
        <v>287</v>
      </c>
      <c r="D16" s="36">
        <v>640</v>
      </c>
      <c r="E16" s="36">
        <v>760</v>
      </c>
      <c r="F16" s="37">
        <f t="shared" si="2"/>
        <v>121</v>
      </c>
      <c r="G16" s="36" t="s">
        <v>285</v>
      </c>
      <c r="H16" s="36">
        <v>502</v>
      </c>
      <c r="I16" s="37">
        <v>125</v>
      </c>
      <c r="J16" s="36"/>
      <c r="K16" s="36"/>
      <c r="L16" s="36"/>
      <c r="M16" s="36"/>
    </row>
    <row r="17" spans="1:13">
      <c r="A17" s="35">
        <v>17</v>
      </c>
      <c r="B17" s="34">
        <v>3</v>
      </c>
      <c r="C17" t="s">
        <v>273</v>
      </c>
      <c r="D17" s="34">
        <f t="shared" si="0"/>
        <v>800</v>
      </c>
      <c r="E17" s="34">
        <f t="shared" si="1"/>
        <v>845</v>
      </c>
      <c r="F17" s="29">
        <f t="shared" si="2"/>
        <v>46</v>
      </c>
      <c r="G17" s="34" t="s">
        <v>285</v>
      </c>
      <c r="H17" s="34">
        <v>502</v>
      </c>
      <c r="I17" s="29">
        <v>125</v>
      </c>
      <c r="K17">
        <v>801</v>
      </c>
      <c r="L17">
        <v>846</v>
      </c>
    </row>
    <row r="18" spans="1:13">
      <c r="A18" s="36">
        <v>18</v>
      </c>
      <c r="B18" s="36">
        <v>3</v>
      </c>
      <c r="C18" s="36" t="s">
        <v>274</v>
      </c>
      <c r="D18" s="36">
        <f t="shared" si="0"/>
        <v>1000</v>
      </c>
      <c r="E18" s="36">
        <v>1099</v>
      </c>
      <c r="F18" s="37">
        <f t="shared" si="2"/>
        <v>100</v>
      </c>
      <c r="G18" s="36" t="s">
        <v>285</v>
      </c>
      <c r="H18" s="36">
        <v>502</v>
      </c>
      <c r="I18" s="37">
        <v>125</v>
      </c>
      <c r="J18" s="36"/>
      <c r="K18" s="36">
        <v>1001</v>
      </c>
      <c r="L18" s="36">
        <v>1280</v>
      </c>
      <c r="M18" s="36"/>
    </row>
    <row r="19" spans="1:13">
      <c r="A19" s="36">
        <v>19</v>
      </c>
      <c r="B19" s="36">
        <v>3</v>
      </c>
      <c r="C19" s="36" t="s">
        <v>288</v>
      </c>
      <c r="D19" s="36">
        <v>1100</v>
      </c>
      <c r="E19" s="36">
        <v>1199</v>
      </c>
      <c r="F19" s="37">
        <f t="shared" si="2"/>
        <v>100</v>
      </c>
      <c r="G19" s="36" t="s">
        <v>285</v>
      </c>
      <c r="H19" s="36">
        <v>502</v>
      </c>
      <c r="I19" s="37">
        <v>125</v>
      </c>
      <c r="J19" s="36"/>
      <c r="K19" s="36"/>
      <c r="L19" s="36"/>
      <c r="M19" s="36"/>
    </row>
    <row r="20" spans="1:13">
      <c r="A20" s="36">
        <v>20</v>
      </c>
      <c r="B20" s="36">
        <v>3</v>
      </c>
      <c r="C20" s="36" t="s">
        <v>289</v>
      </c>
      <c r="D20" s="36">
        <v>1200</v>
      </c>
      <c r="E20" s="36">
        <v>1279</v>
      </c>
      <c r="F20" s="37">
        <f t="shared" si="2"/>
        <v>80</v>
      </c>
      <c r="G20" s="36" t="s">
        <v>285</v>
      </c>
      <c r="H20" s="36">
        <v>502</v>
      </c>
      <c r="I20" s="37">
        <v>125</v>
      </c>
      <c r="J20" s="36"/>
      <c r="K20" s="36"/>
      <c r="L20" s="36"/>
      <c r="M20" s="36"/>
    </row>
    <row r="21" spans="1:13">
      <c r="A21" s="36">
        <v>21</v>
      </c>
      <c r="B21" s="36">
        <v>3</v>
      </c>
      <c r="C21" s="36" t="s">
        <v>275</v>
      </c>
      <c r="D21" s="36">
        <f t="shared" si="0"/>
        <v>1400</v>
      </c>
      <c r="E21" s="36">
        <v>1499</v>
      </c>
      <c r="F21" s="37">
        <f t="shared" si="2"/>
        <v>100</v>
      </c>
      <c r="G21" s="36" t="s">
        <v>285</v>
      </c>
      <c r="H21" s="36">
        <v>502</v>
      </c>
      <c r="I21" s="37">
        <v>125</v>
      </c>
      <c r="J21" s="36"/>
      <c r="K21" s="36">
        <v>1401</v>
      </c>
      <c r="L21" s="36">
        <v>1680</v>
      </c>
      <c r="M21" s="36"/>
    </row>
    <row r="22" spans="1:13">
      <c r="A22" s="36">
        <v>22</v>
      </c>
      <c r="B22" s="36">
        <v>3</v>
      </c>
      <c r="C22" s="36" t="s">
        <v>290</v>
      </c>
      <c r="D22" s="36">
        <v>1500</v>
      </c>
      <c r="E22" s="36">
        <v>1599</v>
      </c>
      <c r="F22" s="37">
        <f t="shared" si="2"/>
        <v>100</v>
      </c>
      <c r="G22" s="36" t="s">
        <v>285</v>
      </c>
      <c r="H22" s="36">
        <v>502</v>
      </c>
      <c r="I22" s="37">
        <v>125</v>
      </c>
      <c r="J22" s="36"/>
      <c r="K22" s="36"/>
      <c r="L22" s="36"/>
      <c r="M22" s="36"/>
    </row>
    <row r="23" spans="1:13">
      <c r="A23" s="36">
        <v>23</v>
      </c>
      <c r="B23" s="36">
        <v>3</v>
      </c>
      <c r="C23" s="36" t="s">
        <v>291</v>
      </c>
      <c r="D23" s="36">
        <v>1600</v>
      </c>
      <c r="E23" s="36">
        <v>1679</v>
      </c>
      <c r="F23" s="37">
        <f t="shared" si="2"/>
        <v>80</v>
      </c>
      <c r="G23" s="36" t="s">
        <v>285</v>
      </c>
      <c r="H23" s="36">
        <v>502</v>
      </c>
      <c r="I23" s="37">
        <v>125</v>
      </c>
      <c r="J23" s="36"/>
      <c r="K23" s="36"/>
      <c r="L23" s="36"/>
      <c r="M23" s="36"/>
    </row>
    <row r="24" spans="1:13" ht="30">
      <c r="A24" s="36">
        <v>24</v>
      </c>
      <c r="B24" s="36">
        <v>3</v>
      </c>
      <c r="C24" s="37" t="s">
        <v>276</v>
      </c>
      <c r="D24" s="36">
        <f t="shared" si="0"/>
        <v>1800</v>
      </c>
      <c r="E24" s="36">
        <v>1899</v>
      </c>
      <c r="F24" s="37">
        <f t="shared" si="2"/>
        <v>100</v>
      </c>
      <c r="G24" s="36" t="s">
        <v>285</v>
      </c>
      <c r="H24" s="36">
        <v>502</v>
      </c>
      <c r="I24" s="37">
        <v>125</v>
      </c>
      <c r="J24" s="36"/>
      <c r="K24" s="36">
        <v>1801</v>
      </c>
      <c r="L24" s="36">
        <v>2080</v>
      </c>
      <c r="M24" s="36"/>
    </row>
    <row r="25" spans="1:13">
      <c r="A25" s="36">
        <v>25</v>
      </c>
      <c r="B25" s="36">
        <v>3</v>
      </c>
      <c r="C25" s="37" t="s">
        <v>292</v>
      </c>
      <c r="D25" s="36">
        <v>1900</v>
      </c>
      <c r="E25" s="36">
        <v>1999</v>
      </c>
      <c r="F25" s="37">
        <f t="shared" si="2"/>
        <v>100</v>
      </c>
      <c r="G25" s="36" t="s">
        <v>285</v>
      </c>
      <c r="H25" s="36">
        <v>502</v>
      </c>
      <c r="I25" s="37">
        <v>125</v>
      </c>
      <c r="J25" s="36"/>
      <c r="K25" s="37"/>
      <c r="L25" s="37"/>
      <c r="M25" s="36"/>
    </row>
    <row r="26" spans="1:13">
      <c r="A26" s="36">
        <v>26</v>
      </c>
      <c r="B26" s="36">
        <v>3</v>
      </c>
      <c r="C26" s="37" t="s">
        <v>293</v>
      </c>
      <c r="D26" s="36">
        <v>2000</v>
      </c>
      <c r="E26" s="36">
        <v>2079</v>
      </c>
      <c r="F26" s="37">
        <f t="shared" si="2"/>
        <v>80</v>
      </c>
      <c r="G26" s="36" t="s">
        <v>285</v>
      </c>
      <c r="H26" s="36">
        <v>502</v>
      </c>
      <c r="I26" s="37">
        <v>125</v>
      </c>
      <c r="J26" s="36"/>
      <c r="K26" s="37"/>
      <c r="L26" s="37"/>
      <c r="M26" s="36"/>
    </row>
    <row r="27" spans="1:13" ht="30">
      <c r="A27" s="36">
        <v>27</v>
      </c>
      <c r="B27" s="36">
        <v>3</v>
      </c>
      <c r="C27" s="37" t="s">
        <v>277</v>
      </c>
      <c r="D27" s="36">
        <f t="shared" si="0"/>
        <v>2200</v>
      </c>
      <c r="E27" s="36">
        <v>2299</v>
      </c>
      <c r="F27" s="37">
        <f t="shared" si="2"/>
        <v>100</v>
      </c>
      <c r="G27" s="36" t="s">
        <v>285</v>
      </c>
      <c r="H27" s="36">
        <v>502</v>
      </c>
      <c r="I27" s="37">
        <v>125</v>
      </c>
      <c r="J27" s="36"/>
      <c r="K27" s="36">
        <v>2201</v>
      </c>
      <c r="L27" s="36">
        <v>2480</v>
      </c>
      <c r="M27" s="36"/>
    </row>
    <row r="28" spans="1:13">
      <c r="A28" s="36">
        <v>28</v>
      </c>
      <c r="B28" s="36">
        <v>3</v>
      </c>
      <c r="C28" s="37" t="s">
        <v>294</v>
      </c>
      <c r="D28" s="36">
        <v>2300</v>
      </c>
      <c r="E28" s="36">
        <v>2399</v>
      </c>
      <c r="F28" s="37">
        <f t="shared" si="2"/>
        <v>100</v>
      </c>
      <c r="G28" s="36" t="s">
        <v>285</v>
      </c>
      <c r="H28" s="36">
        <v>502</v>
      </c>
      <c r="I28" s="37">
        <v>125</v>
      </c>
      <c r="J28" s="36"/>
      <c r="K28" s="37"/>
      <c r="L28" s="37"/>
      <c r="M28" s="36"/>
    </row>
    <row r="29" spans="1:13">
      <c r="A29" s="36">
        <v>29</v>
      </c>
      <c r="B29" s="36">
        <v>3</v>
      </c>
      <c r="C29" s="37" t="s">
        <v>295</v>
      </c>
      <c r="D29" s="36">
        <v>2400</v>
      </c>
      <c r="E29" s="36">
        <v>2479</v>
      </c>
      <c r="F29" s="37">
        <f t="shared" si="2"/>
        <v>80</v>
      </c>
      <c r="G29" s="36" t="s">
        <v>285</v>
      </c>
      <c r="H29" s="36">
        <v>502</v>
      </c>
      <c r="I29" s="37">
        <v>125</v>
      </c>
      <c r="J29" s="36"/>
      <c r="K29" s="37"/>
      <c r="L29" s="37"/>
      <c r="M29" s="36"/>
    </row>
    <row r="30" spans="1:13" ht="30">
      <c r="A30" s="36">
        <v>30</v>
      </c>
      <c r="B30" s="36">
        <v>3</v>
      </c>
      <c r="C30" s="37" t="s">
        <v>278</v>
      </c>
      <c r="D30" s="36">
        <f t="shared" si="0"/>
        <v>2600</v>
      </c>
      <c r="E30" s="36">
        <v>2699</v>
      </c>
      <c r="F30" s="37">
        <f t="shared" si="2"/>
        <v>100</v>
      </c>
      <c r="G30" s="36" t="s">
        <v>285</v>
      </c>
      <c r="H30" s="36">
        <v>502</v>
      </c>
      <c r="I30" s="37">
        <v>125</v>
      </c>
      <c r="J30" s="36"/>
      <c r="K30" s="36">
        <v>2601</v>
      </c>
      <c r="L30" s="36">
        <v>2880</v>
      </c>
      <c r="M30" s="36"/>
    </row>
    <row r="31" spans="1:13">
      <c r="A31" s="36">
        <v>31</v>
      </c>
      <c r="B31" s="36">
        <v>3</v>
      </c>
      <c r="C31" s="37" t="s">
        <v>297</v>
      </c>
      <c r="D31" s="36">
        <v>2700</v>
      </c>
      <c r="E31" s="36">
        <v>2799</v>
      </c>
      <c r="F31" s="37">
        <f t="shared" si="2"/>
        <v>100</v>
      </c>
      <c r="G31" s="36" t="s">
        <v>285</v>
      </c>
      <c r="H31" s="36">
        <v>502</v>
      </c>
      <c r="I31" s="37">
        <v>125</v>
      </c>
      <c r="J31" s="36"/>
      <c r="K31" s="37"/>
      <c r="L31" s="37"/>
      <c r="M31" s="36"/>
    </row>
    <row r="32" spans="1:13">
      <c r="A32" s="36">
        <v>32</v>
      </c>
      <c r="B32" s="36">
        <v>3</v>
      </c>
      <c r="C32" s="37" t="s">
        <v>296</v>
      </c>
      <c r="D32" s="36">
        <v>2800</v>
      </c>
      <c r="E32" s="36">
        <v>2879</v>
      </c>
      <c r="F32" s="37">
        <f t="shared" si="2"/>
        <v>80</v>
      </c>
      <c r="G32" s="36" t="s">
        <v>285</v>
      </c>
      <c r="H32" s="36">
        <v>502</v>
      </c>
      <c r="I32" s="37">
        <v>125</v>
      </c>
      <c r="J32" s="36"/>
      <c r="K32" s="37"/>
      <c r="L32" s="37"/>
      <c r="M32" s="36"/>
    </row>
    <row r="33" spans="1:13" ht="30">
      <c r="A33" s="36">
        <v>33</v>
      </c>
      <c r="B33" s="36">
        <v>3</v>
      </c>
      <c r="C33" s="37" t="s">
        <v>279</v>
      </c>
      <c r="D33" s="36">
        <f t="shared" si="0"/>
        <v>3000</v>
      </c>
      <c r="E33" s="36">
        <v>3099</v>
      </c>
      <c r="F33" s="37">
        <f t="shared" si="2"/>
        <v>100</v>
      </c>
      <c r="G33" s="36" t="s">
        <v>285</v>
      </c>
      <c r="H33" s="36">
        <v>502</v>
      </c>
      <c r="I33" s="37">
        <v>125</v>
      </c>
      <c r="J33" s="36"/>
      <c r="K33" s="36">
        <v>3001</v>
      </c>
      <c r="L33" s="36">
        <v>3280</v>
      </c>
      <c r="M33" s="36"/>
    </row>
    <row r="34" spans="1:13">
      <c r="A34" s="36">
        <v>34</v>
      </c>
      <c r="B34" s="36">
        <v>3</v>
      </c>
      <c r="C34" s="37" t="s">
        <v>298</v>
      </c>
      <c r="D34" s="36">
        <v>3100</v>
      </c>
      <c r="E34" s="36">
        <v>3199</v>
      </c>
      <c r="F34" s="37">
        <f t="shared" si="2"/>
        <v>100</v>
      </c>
      <c r="G34" s="36" t="s">
        <v>285</v>
      </c>
      <c r="H34" s="36">
        <v>502</v>
      </c>
      <c r="I34" s="37">
        <v>125</v>
      </c>
      <c r="J34" s="36"/>
      <c r="K34" s="37"/>
      <c r="L34" s="37"/>
      <c r="M34" s="36"/>
    </row>
    <row r="35" spans="1:13">
      <c r="A35" s="36">
        <v>35</v>
      </c>
      <c r="B35" s="36">
        <v>3</v>
      </c>
      <c r="C35" s="37" t="s">
        <v>299</v>
      </c>
      <c r="D35" s="36">
        <v>3200</v>
      </c>
      <c r="E35" s="36">
        <v>3279</v>
      </c>
      <c r="F35" s="37">
        <f t="shared" si="2"/>
        <v>80</v>
      </c>
      <c r="G35" s="36" t="s">
        <v>285</v>
      </c>
      <c r="H35" s="36">
        <v>502</v>
      </c>
      <c r="I35" s="37">
        <v>125</v>
      </c>
      <c r="J35" s="36"/>
      <c r="K35" s="37"/>
      <c r="L35" s="37"/>
      <c r="M35" s="36"/>
    </row>
    <row r="36" spans="1:13">
      <c r="A36" s="35">
        <v>36</v>
      </c>
      <c r="B36" s="34">
        <v>3</v>
      </c>
      <c r="C36" t="s">
        <v>280</v>
      </c>
      <c r="D36" s="34">
        <f t="shared" si="0"/>
        <v>5000</v>
      </c>
      <c r="E36" s="34">
        <f t="shared" si="1"/>
        <v>5098</v>
      </c>
      <c r="F36" s="29">
        <f t="shared" si="2"/>
        <v>99</v>
      </c>
      <c r="G36" s="34" t="s">
        <v>285</v>
      </c>
      <c r="H36" s="34">
        <v>502</v>
      </c>
      <c r="I36" s="29">
        <v>125</v>
      </c>
      <c r="K36">
        <v>5001</v>
      </c>
      <c r="L36">
        <v>5099</v>
      </c>
    </row>
    <row r="37" spans="1:13">
      <c r="A37" s="35">
        <v>37</v>
      </c>
      <c r="B37" s="34">
        <v>3</v>
      </c>
      <c r="C37" t="s">
        <v>281</v>
      </c>
      <c r="D37" s="34">
        <f t="shared" si="0"/>
        <v>5200</v>
      </c>
      <c r="E37" s="34">
        <f t="shared" si="1"/>
        <v>5298</v>
      </c>
      <c r="F37" s="29">
        <f t="shared" si="2"/>
        <v>99</v>
      </c>
      <c r="G37" s="34" t="s">
        <v>285</v>
      </c>
      <c r="H37" s="34">
        <v>502</v>
      </c>
      <c r="I37" s="29">
        <v>125</v>
      </c>
      <c r="K37">
        <v>5201</v>
      </c>
      <c r="L37">
        <v>5299</v>
      </c>
    </row>
    <row r="38" spans="1:13">
      <c r="A38" s="35">
        <v>38</v>
      </c>
      <c r="B38" s="34">
        <v>3</v>
      </c>
      <c r="C38" t="s">
        <v>282</v>
      </c>
      <c r="D38" s="34">
        <f t="shared" si="0"/>
        <v>5400</v>
      </c>
      <c r="E38" s="34">
        <f t="shared" si="1"/>
        <v>5498</v>
      </c>
      <c r="F38" s="29">
        <f t="shared" si="2"/>
        <v>99</v>
      </c>
      <c r="G38" s="34" t="s">
        <v>285</v>
      </c>
      <c r="H38" s="34">
        <v>502</v>
      </c>
      <c r="I38" s="29">
        <v>125</v>
      </c>
      <c r="K38">
        <v>5401</v>
      </c>
      <c r="L38">
        <v>5499</v>
      </c>
    </row>
    <row r="39" spans="1:13">
      <c r="A39" s="35">
        <v>39</v>
      </c>
      <c r="B39" s="34">
        <v>3</v>
      </c>
      <c r="C39" t="s">
        <v>283</v>
      </c>
      <c r="D39" s="34">
        <f t="shared" si="0"/>
        <v>6000</v>
      </c>
      <c r="E39" s="34">
        <f t="shared" si="1"/>
        <v>6001</v>
      </c>
      <c r="F39" s="29">
        <f t="shared" si="2"/>
        <v>2</v>
      </c>
      <c r="G39" s="34" t="s">
        <v>285</v>
      </c>
      <c r="H39" s="34">
        <v>502</v>
      </c>
      <c r="I39" s="29">
        <v>125</v>
      </c>
      <c r="K39">
        <v>6001</v>
      </c>
      <c r="L39">
        <v>6002</v>
      </c>
    </row>
    <row r="40" spans="1:13">
      <c r="A40" s="35">
        <v>40</v>
      </c>
      <c r="B40" s="34">
        <v>3</v>
      </c>
      <c r="C40" t="s">
        <v>284</v>
      </c>
      <c r="D40" s="34">
        <f t="shared" si="0"/>
        <v>6002</v>
      </c>
      <c r="E40" s="34">
        <f t="shared" si="1"/>
        <v>6003</v>
      </c>
      <c r="F40" s="29">
        <f t="shared" si="2"/>
        <v>2</v>
      </c>
      <c r="G40" s="34" t="s">
        <v>285</v>
      </c>
      <c r="H40" s="34">
        <v>502</v>
      </c>
      <c r="I40" s="29">
        <v>125</v>
      </c>
      <c r="K40">
        <v>6003</v>
      </c>
      <c r="L40">
        <v>6004</v>
      </c>
    </row>
    <row r="41" spans="1:13">
      <c r="F41" s="29">
        <f>SUM(F1:F40)</f>
        <v>2632</v>
      </c>
    </row>
    <row r="46" spans="1:13">
      <c r="B46" s="31"/>
      <c r="C46" s="37" t="s">
        <v>300</v>
      </c>
      <c r="G46" s="31"/>
      <c r="H46" s="31"/>
      <c r="I46" s="29"/>
    </row>
  </sheetData>
  <conditionalFormatting sqref="I1:I8 I4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{451B429D-7DA8-4273-8F67-BB53C046B8DF}</x14:id>
        </ext>
      </extLst>
    </cfRule>
  </conditionalFormatting>
  <conditionalFormatting sqref="F1:F4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{BE21E772-CADB-4F90-815B-9B71BFAD8AEF}</x14:id>
        </ext>
      </extLst>
    </cfRule>
  </conditionalFormatting>
  <conditionalFormatting sqref="F46 I5 F1:F4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{07C9CA75-8405-418E-9059-3552EEFA19CE}</x14:id>
        </ext>
      </extLst>
    </cfRule>
  </conditionalFormatting>
  <conditionalFormatting sqref="I9:I4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{DC054F41-DB5B-4D93-9B04-E80257213E7A}</x14:id>
        </ext>
      </extLst>
    </cfRule>
  </conditionalFormatting>
  <conditionalFormatting sqref="F1:F4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{E36B5B8F-AA12-40E9-B15B-FD791BBEC11F}</x14:id>
        </ext>
      </extLst>
    </cfRule>
  </conditionalFormatting>
  <pageMargins left="0.7" right="0.7" top="0.75" bottom="0.75" header="0.3" footer="0.3"/>
  <pageSetup orientation="portrait" r:id="rId1"/>
  <headerFooter>
    <oddHeader xml:space="preserve">&amp;Cmodel trial #
</oddHead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1B429D-7DA8-4273-8F67-BB53C046B8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I1:I8 I46</xm:sqref>
        </x14:conditionalFormatting>
        <x14:conditionalFormatting xmlns:xm="http://schemas.microsoft.com/office/excel/2006/main">
          <x14:cfRule type="dataBar" id="{BE21E772-CADB-4F90-815B-9B71BFAD8A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F1:F40</xm:sqref>
        </x14:conditionalFormatting>
        <x14:conditionalFormatting xmlns:xm="http://schemas.microsoft.com/office/excel/2006/main">
          <x14:cfRule type="dataBar" id="{07C9CA75-8405-418E-9059-3552EEFA19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F46 I5 F1:F41</xm:sqref>
        </x14:conditionalFormatting>
        <x14:conditionalFormatting xmlns:xm="http://schemas.microsoft.com/office/excel/2006/main">
          <x14:cfRule type="dataBar" id="{DC054F41-DB5B-4D93-9B04-E80257213E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I9:I40</xm:sqref>
        </x14:conditionalFormatting>
        <x14:conditionalFormatting xmlns:xm="http://schemas.microsoft.com/office/excel/2006/main">
          <x14:cfRule type="dataBar" id="{E36B5B8F-AA12-40E9-B15B-FD791BBEC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0FC65-A379-4AED-B606-ACB578660F1D}">
  <sheetPr codeName="Sheet3"/>
  <dimension ref="A1:AMM1350"/>
  <sheetViews>
    <sheetView tabSelected="1" workbookViewId="0">
      <pane ySplit="1" topLeftCell="A2" activePane="bottomLeft" state="frozen"/>
      <selection pane="bottomLeft" activeCell="K54" sqref="K54"/>
    </sheetView>
  </sheetViews>
  <sheetFormatPr defaultColWidth="0" defaultRowHeight="15"/>
  <cols>
    <col min="1" max="1" width="4.42578125" style="65" bestFit="1" customWidth="1"/>
    <col min="2" max="2" width="47.140625" style="66" customWidth="1"/>
    <col min="3" max="3" width="6.28515625" style="66" customWidth="1"/>
    <col min="4" max="4" width="39.140625" style="67" customWidth="1"/>
    <col min="5" max="6" width="7.42578125" style="67" customWidth="1"/>
    <col min="7" max="8" width="7.42578125" style="66" customWidth="1"/>
    <col min="9" max="9" width="7.42578125" style="67" customWidth="1"/>
    <col min="10" max="10" width="7.42578125" style="68" customWidth="1"/>
    <col min="11" max="11" width="7.42578125" style="66" customWidth="1"/>
    <col min="12" max="12" width="12.28515625" style="67" customWidth="1"/>
    <col min="13" max="13" width="12.28515625" style="66" customWidth="1"/>
    <col min="14" max="21" width="32.7109375" style="66" hidden="1" customWidth="1"/>
    <col min="22" max="1027" width="0" style="66" hidden="1" customWidth="1"/>
    <col min="1028" max="16384" width="32.7109375" style="66" hidden="1"/>
  </cols>
  <sheetData>
    <row r="1" spans="1:15" s="58" customFormat="1" ht="36.75">
      <c r="A1" s="56" t="s">
        <v>9</v>
      </c>
      <c r="B1" s="57" t="s">
        <v>1321</v>
      </c>
      <c r="C1" s="63" t="s">
        <v>1286</v>
      </c>
      <c r="D1" s="59" t="s">
        <v>1291</v>
      </c>
      <c r="E1" s="60" t="s">
        <v>398</v>
      </c>
      <c r="F1" s="60" t="s">
        <v>1289</v>
      </c>
      <c r="G1" s="55" t="s">
        <v>1288</v>
      </c>
      <c r="H1" s="61" t="s">
        <v>1287</v>
      </c>
      <c r="I1" s="62" t="s">
        <v>1292</v>
      </c>
      <c r="J1" s="62" t="s">
        <v>1293</v>
      </c>
      <c r="K1" s="62" t="s">
        <v>1324</v>
      </c>
      <c r="L1" s="70" t="s">
        <v>1322</v>
      </c>
      <c r="M1" s="70" t="s">
        <v>1323</v>
      </c>
      <c r="N1" s="55" t="s">
        <v>1294</v>
      </c>
      <c r="O1" s="63"/>
    </row>
    <row r="2" spans="1:15" s="41" customFormat="1">
      <c r="D2" s="51"/>
      <c r="E2" s="47"/>
      <c r="F2" s="47"/>
      <c r="H2" s="44"/>
      <c r="I2" s="44"/>
      <c r="J2" s="44"/>
    </row>
    <row r="3" spans="1:15" s="43" customFormat="1">
      <c r="A3" s="39">
        <v>1</v>
      </c>
      <c r="B3" s="42" t="s">
        <v>1295</v>
      </c>
      <c r="C3" s="42"/>
      <c r="D3" s="52"/>
      <c r="E3" s="45"/>
      <c r="F3" s="45"/>
      <c r="G3" s="42">
        <v>1</v>
      </c>
      <c r="H3" s="45">
        <f>K3-G3+1</f>
        <v>49</v>
      </c>
      <c r="I3" s="45" t="s">
        <v>1262</v>
      </c>
      <c r="J3" s="49"/>
      <c r="K3" s="42">
        <v>49</v>
      </c>
    </row>
    <row r="4" spans="1:15" s="41" customFormat="1">
      <c r="B4" s="41" t="s">
        <v>349</v>
      </c>
      <c r="D4" s="53" t="s">
        <v>349</v>
      </c>
      <c r="E4" s="44"/>
      <c r="F4" s="44"/>
      <c r="G4" s="41">
        <v>1</v>
      </c>
      <c r="H4" s="44"/>
      <c r="I4" s="44"/>
      <c r="J4" s="44"/>
      <c r="K4" s="41">
        <v>8</v>
      </c>
    </row>
    <row r="5" spans="1:15" s="41" customFormat="1">
      <c r="B5" s="41" t="s">
        <v>348</v>
      </c>
      <c r="D5" s="53" t="s">
        <v>348</v>
      </c>
      <c r="E5" s="44"/>
      <c r="F5" s="44"/>
      <c r="G5" s="41">
        <v>9</v>
      </c>
      <c r="H5" s="44"/>
      <c r="I5" s="44"/>
      <c r="J5" s="44"/>
      <c r="K5" s="41">
        <v>24</v>
      </c>
    </row>
    <row r="6" spans="1:15" s="41" customFormat="1">
      <c r="B6" s="41" t="s">
        <v>347</v>
      </c>
      <c r="D6" s="53" t="s">
        <v>1261</v>
      </c>
      <c r="E6" s="44"/>
      <c r="F6" s="44"/>
      <c r="G6" s="41">
        <v>25</v>
      </c>
      <c r="H6" s="44"/>
      <c r="I6" s="44"/>
      <c r="J6" s="44"/>
      <c r="K6" s="41">
        <v>40</v>
      </c>
    </row>
    <row r="7" spans="1:15" s="41" customFormat="1">
      <c r="B7" s="41" t="s">
        <v>346</v>
      </c>
      <c r="D7" s="53" t="s">
        <v>346</v>
      </c>
      <c r="E7" s="44"/>
      <c r="F7" s="44"/>
      <c r="G7" s="41">
        <v>41</v>
      </c>
      <c r="H7" s="44"/>
      <c r="I7" s="44"/>
      <c r="J7" s="44"/>
      <c r="K7" s="41">
        <v>49</v>
      </c>
    </row>
    <row r="8" spans="1:15" s="41" customFormat="1">
      <c r="D8" s="51"/>
      <c r="E8" s="44"/>
      <c r="F8" s="44"/>
      <c r="H8" s="44"/>
      <c r="I8" s="44"/>
      <c r="J8" s="44"/>
    </row>
    <row r="9" spans="1:15" s="43" customFormat="1">
      <c r="A9" s="42"/>
      <c r="B9" s="42" t="s">
        <v>1296</v>
      </c>
      <c r="C9" s="42"/>
      <c r="D9" s="54"/>
      <c r="E9" s="46"/>
      <c r="F9" s="46"/>
      <c r="G9" s="42"/>
      <c r="H9" s="45"/>
      <c r="I9" s="46"/>
      <c r="J9" s="49"/>
      <c r="K9" s="42"/>
      <c r="L9" s="42"/>
    </row>
    <row r="10" spans="1:15" s="41" customFormat="1">
      <c r="B10" s="41" t="s">
        <v>345</v>
      </c>
      <c r="D10" s="53" t="s">
        <v>316</v>
      </c>
      <c r="E10" s="44"/>
      <c r="F10" s="44"/>
      <c r="G10" s="41">
        <v>65</v>
      </c>
      <c r="H10" s="44"/>
      <c r="I10" s="44"/>
      <c r="J10" s="44"/>
      <c r="K10" s="41">
        <v>68</v>
      </c>
    </row>
    <row r="11" spans="1:15" s="41" customFormat="1">
      <c r="D11" s="53" t="s">
        <v>315</v>
      </c>
      <c r="E11" s="44"/>
      <c r="F11" s="44"/>
      <c r="G11" s="41">
        <v>66</v>
      </c>
      <c r="H11" s="45">
        <f>K11-G11+1</f>
        <v>1</v>
      </c>
      <c r="I11" s="47" t="s">
        <v>350</v>
      </c>
      <c r="J11" s="44"/>
      <c r="K11" s="41">
        <v>66</v>
      </c>
    </row>
    <row r="12" spans="1:15" s="41" customFormat="1">
      <c r="D12" s="53" t="s">
        <v>314</v>
      </c>
      <c r="E12" s="44"/>
      <c r="F12" s="44"/>
      <c r="G12" s="41">
        <v>67</v>
      </c>
      <c r="H12" s="45">
        <f>K12-G12+1</f>
        <v>1</v>
      </c>
      <c r="I12" s="47" t="s">
        <v>350</v>
      </c>
      <c r="J12" s="44"/>
      <c r="K12" s="41">
        <v>67</v>
      </c>
    </row>
    <row r="13" spans="1:15" s="41" customFormat="1">
      <c r="D13" s="53" t="s">
        <v>313</v>
      </c>
      <c r="E13" s="44"/>
      <c r="F13" s="44"/>
      <c r="G13" s="41">
        <v>68</v>
      </c>
      <c r="H13" s="45">
        <f>K13-G13+1</f>
        <v>1</v>
      </c>
      <c r="I13" s="47" t="s">
        <v>350</v>
      </c>
      <c r="J13" s="44"/>
      <c r="K13" s="41">
        <v>68</v>
      </c>
    </row>
    <row r="14" spans="1:15" s="41" customFormat="1">
      <c r="D14" s="53"/>
      <c r="E14" s="44"/>
      <c r="F14" s="44"/>
      <c r="H14" s="44"/>
      <c r="I14" s="44"/>
      <c r="J14" s="44"/>
    </row>
    <row r="15" spans="1:15" s="41" customFormat="1">
      <c r="D15" s="51"/>
      <c r="E15" s="44"/>
      <c r="F15" s="44"/>
      <c r="H15" s="44"/>
      <c r="I15" s="44"/>
      <c r="J15" s="44"/>
    </row>
    <row r="16" spans="1:15" s="43" customFormat="1">
      <c r="A16" s="42"/>
      <c r="B16" s="42" t="s">
        <v>1297</v>
      </c>
      <c r="C16" s="42"/>
      <c r="D16" s="54"/>
      <c r="E16" s="46"/>
      <c r="F16" s="46"/>
      <c r="G16" s="42"/>
      <c r="H16" s="45"/>
      <c r="I16" s="46"/>
      <c r="J16" s="49"/>
      <c r="K16" s="42"/>
      <c r="L16" s="42"/>
    </row>
    <row r="17" spans="1:12" s="41" customFormat="1">
      <c r="B17" s="41" t="s">
        <v>344</v>
      </c>
      <c r="D17" s="53" t="s">
        <v>344</v>
      </c>
      <c r="E17" s="44"/>
      <c r="F17" s="44"/>
      <c r="G17" s="41">
        <v>71</v>
      </c>
      <c r="H17" s="45">
        <f>K17-G17+1</f>
        <v>6</v>
      </c>
      <c r="I17" s="44" t="s">
        <v>1262</v>
      </c>
      <c r="J17" s="44"/>
      <c r="K17" s="41">
        <v>76</v>
      </c>
    </row>
    <row r="18" spans="1:12" s="41" customFormat="1">
      <c r="B18" s="41" t="s">
        <v>343</v>
      </c>
      <c r="D18" s="53" t="s">
        <v>343</v>
      </c>
      <c r="E18" s="44"/>
      <c r="F18" s="44"/>
      <c r="G18" s="41">
        <v>77</v>
      </c>
      <c r="H18" s="45">
        <f>K18-G18+1</f>
        <v>6</v>
      </c>
      <c r="I18" s="44" t="s">
        <v>1262</v>
      </c>
      <c r="J18" s="44"/>
      <c r="K18" s="41">
        <v>82</v>
      </c>
    </row>
    <row r="19" spans="1:12" s="41" customFormat="1">
      <c r="B19" s="41" t="s">
        <v>342</v>
      </c>
      <c r="D19" s="53" t="s">
        <v>342</v>
      </c>
      <c r="E19" s="44"/>
      <c r="F19" s="44"/>
      <c r="G19" s="41">
        <v>83</v>
      </c>
      <c r="H19" s="45">
        <f>K19-G19+1</f>
        <v>7</v>
      </c>
      <c r="I19" s="44" t="s">
        <v>1262</v>
      </c>
      <c r="J19" s="44"/>
      <c r="K19" s="41">
        <v>89</v>
      </c>
    </row>
    <row r="20" spans="1:12" s="41" customFormat="1">
      <c r="D20" s="51"/>
      <c r="E20" s="44"/>
      <c r="F20" s="44"/>
      <c r="H20" s="44"/>
      <c r="I20" s="44"/>
      <c r="J20" s="44"/>
    </row>
    <row r="21" spans="1:12" s="43" customFormat="1">
      <c r="A21" s="42"/>
      <c r="B21" s="42" t="s">
        <v>1298</v>
      </c>
      <c r="C21" s="42">
        <v>3</v>
      </c>
      <c r="D21" s="54" t="s">
        <v>1325</v>
      </c>
      <c r="E21" s="46"/>
      <c r="F21" s="46"/>
      <c r="G21" s="41">
        <v>101</v>
      </c>
      <c r="H21" s="45">
        <f>K21-G21+1</f>
        <v>2</v>
      </c>
      <c r="I21" s="46" t="s">
        <v>1326</v>
      </c>
      <c r="J21" s="49" t="s">
        <v>1327</v>
      </c>
      <c r="K21" s="42">
        <v>102</v>
      </c>
      <c r="L21" s="42"/>
    </row>
    <row r="22" spans="1:12" s="41" customFormat="1">
      <c r="D22" s="51"/>
      <c r="E22" s="44"/>
      <c r="F22" s="44"/>
      <c r="H22" s="44"/>
      <c r="I22" s="44"/>
      <c r="J22" s="44"/>
    </row>
    <row r="23" spans="1:12" s="41" customFormat="1">
      <c r="B23" s="41" t="s">
        <v>1327</v>
      </c>
      <c r="D23" s="53" t="s">
        <v>341</v>
      </c>
      <c r="E23" s="47">
        <v>0</v>
      </c>
      <c r="F23" s="44">
        <v>1</v>
      </c>
      <c r="I23" s="44" t="s">
        <v>1283</v>
      </c>
      <c r="J23" s="44"/>
    </row>
    <row r="24" spans="1:12" s="41" customFormat="1">
      <c r="B24" s="41" t="s">
        <v>1327</v>
      </c>
      <c r="D24" s="53" t="s">
        <v>340</v>
      </c>
      <c r="E24" s="47">
        <v>2</v>
      </c>
      <c r="F24" s="44">
        <v>1</v>
      </c>
      <c r="H24" s="45"/>
      <c r="I24" s="44" t="s">
        <v>1283</v>
      </c>
      <c r="J24" s="44"/>
    </row>
    <row r="25" spans="1:12" s="41" customFormat="1">
      <c r="B25" s="41" t="s">
        <v>1327</v>
      </c>
      <c r="D25" s="53" t="s">
        <v>339</v>
      </c>
      <c r="E25" s="47">
        <v>4</v>
      </c>
      <c r="F25" s="44">
        <v>1</v>
      </c>
      <c r="H25" s="45"/>
      <c r="I25" s="44" t="s">
        <v>1283</v>
      </c>
      <c r="J25" s="44"/>
    </row>
    <row r="26" spans="1:12" s="41" customFormat="1">
      <c r="B26" s="41" t="s">
        <v>1327</v>
      </c>
      <c r="D26" s="53" t="s">
        <v>308</v>
      </c>
      <c r="E26" s="47">
        <v>6</v>
      </c>
      <c r="F26" s="44">
        <v>1</v>
      </c>
      <c r="H26" s="45"/>
      <c r="I26" s="44" t="s">
        <v>1283</v>
      </c>
      <c r="J26" s="44"/>
    </row>
    <row r="27" spans="1:12" s="41" customFormat="1">
      <c r="B27" s="41" t="s">
        <v>1327</v>
      </c>
      <c r="D27" s="51" t="s">
        <v>338</v>
      </c>
      <c r="E27" s="47">
        <v>8</v>
      </c>
      <c r="F27" s="44">
        <v>1</v>
      </c>
      <c r="H27" s="45"/>
      <c r="I27" s="44" t="s">
        <v>1283</v>
      </c>
      <c r="J27" s="44"/>
    </row>
    <row r="28" spans="1:12" s="41" customFormat="1">
      <c r="B28" s="41" t="s">
        <v>1327</v>
      </c>
      <c r="D28" s="53" t="s">
        <v>337</v>
      </c>
      <c r="E28" s="47">
        <v>10</v>
      </c>
      <c r="F28" s="44">
        <v>1</v>
      </c>
      <c r="H28" s="45"/>
      <c r="I28" s="44" t="s">
        <v>1283</v>
      </c>
      <c r="J28" s="44"/>
    </row>
    <row r="29" spans="1:12" s="41" customFormat="1">
      <c r="B29" s="41" t="s">
        <v>1327</v>
      </c>
      <c r="D29" s="53" t="s">
        <v>336</v>
      </c>
      <c r="E29" s="47">
        <v>12</v>
      </c>
      <c r="F29" s="44">
        <v>1</v>
      </c>
      <c r="H29" s="45"/>
      <c r="I29" s="44" t="s">
        <v>1283</v>
      </c>
      <c r="J29" s="44"/>
    </row>
    <row r="30" spans="1:12" s="41" customFormat="1">
      <c r="B30" s="41" t="s">
        <v>1327</v>
      </c>
      <c r="D30" s="53" t="s">
        <v>308</v>
      </c>
      <c r="E30" s="47">
        <v>14</v>
      </c>
      <c r="F30" s="44">
        <v>1</v>
      </c>
      <c r="H30" s="45"/>
      <c r="I30" s="44" t="s">
        <v>1283</v>
      </c>
      <c r="J30" s="44"/>
    </row>
    <row r="31" spans="1:12" s="41" customFormat="1">
      <c r="B31" s="41" t="s">
        <v>1327</v>
      </c>
      <c r="D31" s="53" t="s">
        <v>335</v>
      </c>
      <c r="E31" s="47">
        <v>0</v>
      </c>
      <c r="F31" s="44">
        <v>1</v>
      </c>
      <c r="H31" s="45"/>
      <c r="I31" s="44" t="s">
        <v>1283</v>
      </c>
      <c r="J31" s="44"/>
    </row>
    <row r="32" spans="1:12" s="41" customFormat="1">
      <c r="B32" s="41" t="s">
        <v>1327</v>
      </c>
      <c r="D32" s="51" t="s">
        <v>308</v>
      </c>
      <c r="E32" s="47">
        <v>2</v>
      </c>
      <c r="F32" s="44">
        <v>13</v>
      </c>
      <c r="H32" s="45"/>
      <c r="I32" s="44" t="s">
        <v>1283</v>
      </c>
      <c r="J32" s="44"/>
    </row>
    <row r="33" spans="1:12" s="41" customFormat="1">
      <c r="D33" s="51"/>
      <c r="E33" s="44"/>
      <c r="F33" s="44"/>
      <c r="H33" s="44"/>
      <c r="I33" s="44"/>
      <c r="J33" s="44"/>
    </row>
    <row r="34" spans="1:12" s="43" customFormat="1">
      <c r="A34" s="42"/>
      <c r="B34" s="42" t="s">
        <v>1299</v>
      </c>
      <c r="C34" s="42">
        <v>3</v>
      </c>
      <c r="D34" s="54" t="s">
        <v>1328</v>
      </c>
      <c r="E34" s="46"/>
      <c r="F34" s="46"/>
      <c r="G34" s="41">
        <v>111</v>
      </c>
      <c r="H34" s="45">
        <f>K34-G34+1</f>
        <v>2</v>
      </c>
      <c r="I34" s="44" t="s">
        <v>1326</v>
      </c>
      <c r="J34" s="44" t="s">
        <v>1329</v>
      </c>
      <c r="K34" s="41">
        <v>112</v>
      </c>
      <c r="L34" s="42"/>
    </row>
    <row r="35" spans="1:12" s="41" customFormat="1" ht="90">
      <c r="B35" s="29" t="s">
        <v>1300</v>
      </c>
      <c r="D35" s="51"/>
      <c r="E35" s="44"/>
      <c r="F35" s="44"/>
    </row>
    <row r="36" spans="1:12" s="41" customFormat="1">
      <c r="B36" s="44" t="s">
        <v>1329</v>
      </c>
      <c r="D36" s="51" t="s">
        <v>1263</v>
      </c>
      <c r="E36" s="47">
        <v>0</v>
      </c>
      <c r="F36" s="44">
        <v>1</v>
      </c>
      <c r="H36" s="45"/>
      <c r="I36" s="44" t="s">
        <v>1283</v>
      </c>
      <c r="J36" s="44"/>
      <c r="K36" s="41">
        <v>112</v>
      </c>
    </row>
    <row r="37" spans="1:12" s="41" customFormat="1">
      <c r="B37" s="44" t="s">
        <v>1329</v>
      </c>
      <c r="D37" s="51" t="s">
        <v>1264</v>
      </c>
      <c r="E37" s="47">
        <v>2</v>
      </c>
      <c r="F37" s="44">
        <v>1</v>
      </c>
      <c r="H37" s="45"/>
      <c r="I37" s="44" t="s">
        <v>1283</v>
      </c>
      <c r="J37" s="44"/>
      <c r="K37" s="41">
        <v>112</v>
      </c>
    </row>
    <row r="38" spans="1:12" s="41" customFormat="1">
      <c r="B38" s="44" t="s">
        <v>1329</v>
      </c>
      <c r="D38" s="51" t="s">
        <v>1265</v>
      </c>
      <c r="E38" s="47">
        <v>4</v>
      </c>
      <c r="F38" s="44">
        <v>1</v>
      </c>
      <c r="H38" s="45"/>
      <c r="I38" s="44" t="s">
        <v>1283</v>
      </c>
      <c r="J38" s="44"/>
      <c r="K38" s="41">
        <v>112</v>
      </c>
    </row>
    <row r="39" spans="1:12" s="41" customFormat="1">
      <c r="B39" s="44" t="s">
        <v>1329</v>
      </c>
      <c r="D39" s="51" t="s">
        <v>1266</v>
      </c>
      <c r="E39" s="47">
        <v>6</v>
      </c>
      <c r="F39" s="44">
        <v>1</v>
      </c>
      <c r="H39" s="45"/>
      <c r="I39" s="44" t="s">
        <v>1283</v>
      </c>
      <c r="J39" s="44"/>
      <c r="K39" s="41">
        <v>112</v>
      </c>
    </row>
    <row r="40" spans="1:12" s="41" customFormat="1">
      <c r="B40" s="44" t="s">
        <v>1329</v>
      </c>
      <c r="D40" s="51" t="s">
        <v>1267</v>
      </c>
      <c r="E40" s="47">
        <v>8</v>
      </c>
      <c r="F40" s="44">
        <v>1</v>
      </c>
      <c r="H40" s="45"/>
      <c r="I40" s="44" t="s">
        <v>1283</v>
      </c>
      <c r="J40" s="44"/>
      <c r="K40" s="41">
        <v>112</v>
      </c>
    </row>
    <row r="41" spans="1:12" s="41" customFormat="1">
      <c r="B41" s="44" t="s">
        <v>1329</v>
      </c>
      <c r="D41" s="51" t="s">
        <v>1268</v>
      </c>
      <c r="E41" s="47">
        <v>10</v>
      </c>
      <c r="F41" s="44">
        <v>1</v>
      </c>
      <c r="H41" s="45"/>
      <c r="I41" s="44" t="s">
        <v>1283</v>
      </c>
      <c r="J41" s="44"/>
      <c r="K41" s="41">
        <v>112</v>
      </c>
    </row>
    <row r="42" spans="1:12" s="41" customFormat="1">
      <c r="B42" s="44" t="s">
        <v>1329</v>
      </c>
      <c r="D42" s="51" t="s">
        <v>1269</v>
      </c>
      <c r="E42" s="47">
        <v>12</v>
      </c>
      <c r="F42" s="44">
        <v>1</v>
      </c>
      <c r="H42" s="45"/>
      <c r="I42" s="44" t="s">
        <v>1283</v>
      </c>
      <c r="J42" s="44"/>
      <c r="K42" s="41">
        <v>112</v>
      </c>
    </row>
    <row r="43" spans="1:12" s="41" customFormat="1">
      <c r="B43" s="44" t="s">
        <v>1329</v>
      </c>
      <c r="D43" s="51" t="s">
        <v>1270</v>
      </c>
      <c r="E43" s="47">
        <v>14</v>
      </c>
      <c r="F43" s="44">
        <v>1</v>
      </c>
      <c r="H43" s="45"/>
      <c r="I43" s="44" t="s">
        <v>1283</v>
      </c>
      <c r="J43" s="44"/>
      <c r="K43" s="41">
        <v>112</v>
      </c>
    </row>
    <row r="44" spans="1:12" s="41" customFormat="1">
      <c r="B44" s="44" t="s">
        <v>1329</v>
      </c>
      <c r="D44" s="51" t="s">
        <v>1271</v>
      </c>
      <c r="E44" s="47">
        <v>0</v>
      </c>
      <c r="F44" s="44">
        <v>1</v>
      </c>
      <c r="H44" s="45"/>
      <c r="I44" s="44" t="s">
        <v>1283</v>
      </c>
      <c r="J44" s="44"/>
      <c r="K44" s="41">
        <v>112</v>
      </c>
    </row>
    <row r="45" spans="1:12" s="41" customFormat="1">
      <c r="B45" s="44" t="s">
        <v>1329</v>
      </c>
      <c r="D45" s="51" t="s">
        <v>1272</v>
      </c>
      <c r="E45" s="47">
        <v>2</v>
      </c>
      <c r="F45" s="44">
        <v>1</v>
      </c>
      <c r="H45" s="45"/>
      <c r="I45" s="44" t="s">
        <v>1283</v>
      </c>
      <c r="J45" s="44"/>
      <c r="K45" s="41">
        <v>112</v>
      </c>
    </row>
    <row r="46" spans="1:12" s="41" customFormat="1">
      <c r="B46" s="44" t="s">
        <v>1329</v>
      </c>
      <c r="D46" s="51" t="s">
        <v>1273</v>
      </c>
      <c r="E46" s="47">
        <v>4</v>
      </c>
      <c r="F46" s="44">
        <v>1</v>
      </c>
      <c r="H46" s="45"/>
      <c r="I46" s="44" t="s">
        <v>1283</v>
      </c>
      <c r="J46" s="44"/>
      <c r="K46" s="41">
        <v>112</v>
      </c>
    </row>
    <row r="47" spans="1:12" s="41" customFormat="1">
      <c r="B47" s="44" t="s">
        <v>1329</v>
      </c>
      <c r="D47" s="51" t="s">
        <v>1274</v>
      </c>
      <c r="E47" s="47">
        <v>6</v>
      </c>
      <c r="F47" s="44">
        <v>1</v>
      </c>
      <c r="H47" s="45"/>
      <c r="I47" s="44" t="s">
        <v>1283</v>
      </c>
      <c r="J47" s="44"/>
      <c r="K47" s="41">
        <v>112</v>
      </c>
    </row>
    <row r="48" spans="1:12" s="41" customFormat="1">
      <c r="B48" s="44" t="s">
        <v>1329</v>
      </c>
      <c r="D48" s="51" t="s">
        <v>1275</v>
      </c>
      <c r="E48" s="47">
        <v>8</v>
      </c>
      <c r="F48" s="44">
        <v>1</v>
      </c>
      <c r="H48" s="45"/>
      <c r="I48" s="44" t="s">
        <v>1283</v>
      </c>
      <c r="J48" s="44"/>
      <c r="K48" s="41">
        <v>112</v>
      </c>
    </row>
    <row r="49" spans="1:12" s="41" customFormat="1">
      <c r="B49" s="44" t="s">
        <v>1329</v>
      </c>
      <c r="D49" s="51" t="s">
        <v>1276</v>
      </c>
      <c r="E49" s="47">
        <v>10</v>
      </c>
      <c r="F49" s="44">
        <v>1</v>
      </c>
      <c r="H49" s="45"/>
      <c r="I49" s="44" t="s">
        <v>1283</v>
      </c>
      <c r="J49" s="44"/>
      <c r="K49" s="41">
        <v>112</v>
      </c>
    </row>
    <row r="50" spans="1:12" s="41" customFormat="1">
      <c r="B50" s="44" t="s">
        <v>1329</v>
      </c>
      <c r="D50" s="51" t="s">
        <v>1277</v>
      </c>
      <c r="E50" s="47">
        <v>12</v>
      </c>
      <c r="F50" s="44">
        <v>1</v>
      </c>
      <c r="H50" s="45"/>
      <c r="I50" s="44" t="s">
        <v>1283</v>
      </c>
      <c r="J50" s="44"/>
      <c r="K50" s="41">
        <v>112</v>
      </c>
    </row>
    <row r="51" spans="1:12" s="41" customFormat="1">
      <c r="B51" s="44" t="s">
        <v>1329</v>
      </c>
      <c r="D51" s="51" t="s">
        <v>1278</v>
      </c>
      <c r="E51" s="47">
        <v>14</v>
      </c>
      <c r="F51" s="44">
        <v>1</v>
      </c>
      <c r="H51" s="45"/>
      <c r="I51" s="44" t="s">
        <v>1283</v>
      </c>
      <c r="J51" s="44"/>
      <c r="K51" s="41">
        <v>112</v>
      </c>
    </row>
    <row r="52" spans="1:12" s="41" customFormat="1">
      <c r="D52" s="51"/>
      <c r="E52" s="44"/>
      <c r="F52" s="44"/>
      <c r="H52" s="44"/>
      <c r="I52" s="44"/>
      <c r="J52" s="44"/>
    </row>
    <row r="53" spans="1:12" s="43" customFormat="1">
      <c r="A53" s="42"/>
      <c r="B53" s="42"/>
      <c r="C53" s="42">
        <v>3</v>
      </c>
      <c r="D53" s="54" t="s">
        <v>1301</v>
      </c>
      <c r="E53" s="46"/>
      <c r="F53" s="46"/>
      <c r="G53" s="41">
        <v>113</v>
      </c>
      <c r="H53" s="45">
        <f>K53-G53+1</f>
        <v>1</v>
      </c>
      <c r="I53" s="44" t="s">
        <v>1326</v>
      </c>
      <c r="J53" t="s">
        <v>334</v>
      </c>
      <c r="K53" s="41">
        <v>113</v>
      </c>
      <c r="L53" s="42"/>
    </row>
    <row r="54" spans="1:12" s="41" customFormat="1" ht="90">
      <c r="B54" s="41" t="s">
        <v>1303</v>
      </c>
      <c r="C54" s="29" t="s">
        <v>1302</v>
      </c>
      <c r="D54" s="51" t="s">
        <v>334</v>
      </c>
      <c r="E54" s="44"/>
      <c r="F54" s="44"/>
    </row>
    <row r="55" spans="1:12" s="41" customFormat="1">
      <c r="B55" s="69" t="s">
        <v>334</v>
      </c>
      <c r="D55" s="51" t="s">
        <v>1279</v>
      </c>
      <c r="E55" s="47">
        <v>0</v>
      </c>
      <c r="F55" s="44">
        <v>1</v>
      </c>
      <c r="H55" s="45"/>
      <c r="I55" s="44" t="s">
        <v>1283</v>
      </c>
      <c r="J55" s="44"/>
    </row>
    <row r="56" spans="1:12" s="41" customFormat="1">
      <c r="B56" s="69" t="s">
        <v>334</v>
      </c>
      <c r="D56" s="51" t="s">
        <v>1280</v>
      </c>
      <c r="E56" s="47">
        <v>2</v>
      </c>
      <c r="F56" s="44">
        <v>1</v>
      </c>
      <c r="H56" s="45"/>
      <c r="I56" s="44" t="s">
        <v>1283</v>
      </c>
      <c r="J56" s="44"/>
    </row>
    <row r="57" spans="1:12" s="41" customFormat="1">
      <c r="B57" s="69" t="s">
        <v>334</v>
      </c>
      <c r="D57" s="51" t="s">
        <v>1281</v>
      </c>
      <c r="E57" s="47">
        <v>4</v>
      </c>
      <c r="F57" s="44">
        <v>1</v>
      </c>
      <c r="H57" s="45"/>
      <c r="I57" s="44" t="s">
        <v>1283</v>
      </c>
      <c r="J57" s="44"/>
    </row>
    <row r="58" spans="1:12" s="41" customFormat="1">
      <c r="B58" s="69" t="s">
        <v>334</v>
      </c>
      <c r="D58" s="51" t="s">
        <v>1282</v>
      </c>
      <c r="E58" s="47">
        <v>6</v>
      </c>
      <c r="F58" s="44">
        <v>1</v>
      </c>
      <c r="H58" s="45"/>
      <c r="I58" s="44" t="s">
        <v>1283</v>
      </c>
      <c r="J58" s="44"/>
    </row>
    <row r="59" spans="1:12" s="41" customFormat="1">
      <c r="B59" s="69" t="s">
        <v>334</v>
      </c>
      <c r="D59" t="s">
        <v>308</v>
      </c>
      <c r="E59" s="47">
        <v>8</v>
      </c>
      <c r="F59" s="44">
        <v>1</v>
      </c>
      <c r="H59" s="45"/>
      <c r="I59" s="44" t="s">
        <v>1283</v>
      </c>
      <c r="J59" s="44"/>
    </row>
    <row r="60" spans="1:12" s="41" customFormat="1">
      <c r="B60" s="69" t="s">
        <v>334</v>
      </c>
      <c r="D60" s="69" t="s">
        <v>308</v>
      </c>
      <c r="E60" s="47">
        <v>10</v>
      </c>
      <c r="F60" s="44">
        <v>1</v>
      </c>
      <c r="H60" s="45"/>
      <c r="I60" s="44" t="s">
        <v>1283</v>
      </c>
      <c r="J60" s="44"/>
    </row>
    <row r="61" spans="1:12" s="41" customFormat="1">
      <c r="B61" s="69" t="s">
        <v>334</v>
      </c>
      <c r="D61" s="69" t="s">
        <v>308</v>
      </c>
      <c r="E61" s="47">
        <v>12</v>
      </c>
      <c r="F61" s="44">
        <v>1</v>
      </c>
      <c r="H61" s="45"/>
      <c r="I61" s="44" t="s">
        <v>1283</v>
      </c>
      <c r="J61" s="44"/>
    </row>
    <row r="62" spans="1:12" s="41" customFormat="1">
      <c r="B62" s="69" t="s">
        <v>334</v>
      </c>
      <c r="D62" s="69" t="s">
        <v>308</v>
      </c>
      <c r="E62" s="47">
        <v>14</v>
      </c>
      <c r="F62" s="44">
        <v>1</v>
      </c>
      <c r="H62" s="45"/>
      <c r="I62" s="44" t="s">
        <v>1283</v>
      </c>
      <c r="J62" s="44"/>
    </row>
    <row r="63" spans="1:12" s="41" customFormat="1">
      <c r="D63" s="51"/>
      <c r="E63" s="44"/>
      <c r="F63" s="44"/>
      <c r="H63" s="44"/>
      <c r="I63" s="44"/>
      <c r="J63" s="44"/>
    </row>
    <row r="64" spans="1:12" s="43" customFormat="1">
      <c r="A64" s="42"/>
      <c r="B64" s="42" t="s">
        <v>1304</v>
      </c>
      <c r="C64" s="42"/>
      <c r="D64" s="54"/>
      <c r="E64" s="46"/>
      <c r="F64" s="46"/>
      <c r="G64" s="42"/>
      <c r="H64" s="45"/>
      <c r="I64" s="46"/>
      <c r="J64" s="49"/>
      <c r="K64" s="42"/>
      <c r="L64" s="42"/>
    </row>
    <row r="65" spans="1:12" s="41" customFormat="1">
      <c r="D65" s="51" t="s">
        <v>333</v>
      </c>
      <c r="E65" s="44"/>
      <c r="F65" s="44"/>
      <c r="G65" s="41">
        <v>114</v>
      </c>
      <c r="H65" s="44"/>
      <c r="I65" s="44"/>
      <c r="J65" s="44"/>
      <c r="K65" s="41">
        <v>114</v>
      </c>
    </row>
    <row r="66" spans="1:12" s="41" customFormat="1">
      <c r="D66" s="51" t="s">
        <v>332</v>
      </c>
      <c r="E66" s="44">
        <v>0</v>
      </c>
      <c r="F66" s="44">
        <v>1</v>
      </c>
      <c r="G66" s="41">
        <v>114</v>
      </c>
      <c r="H66" s="45">
        <f>K66-G66+1</f>
        <v>1</v>
      </c>
      <c r="I66" s="44" t="s">
        <v>1283</v>
      </c>
      <c r="J66" s="44"/>
      <c r="K66" s="41">
        <v>114</v>
      </c>
    </row>
    <row r="67" spans="1:12" s="41" customFormat="1">
      <c r="D67" s="51" t="s">
        <v>331</v>
      </c>
      <c r="E67" s="44">
        <v>2</v>
      </c>
      <c r="F67" s="44">
        <v>1</v>
      </c>
      <c r="G67" s="41">
        <v>114</v>
      </c>
      <c r="H67" s="45">
        <f>K67-G67+1</f>
        <v>1</v>
      </c>
      <c r="I67" s="44" t="s">
        <v>1283</v>
      </c>
      <c r="J67" s="44"/>
      <c r="K67" s="41">
        <v>114</v>
      </c>
    </row>
    <row r="68" spans="1:12" s="41" customFormat="1">
      <c r="D68" s="51" t="s">
        <v>330</v>
      </c>
      <c r="E68" s="44">
        <v>4</v>
      </c>
      <c r="F68" s="44">
        <v>1</v>
      </c>
      <c r="G68" s="41">
        <v>114</v>
      </c>
      <c r="H68" s="45">
        <f>K68-G68+1</f>
        <v>1</v>
      </c>
      <c r="I68" s="44" t="s">
        <v>1283</v>
      </c>
      <c r="J68" s="44"/>
      <c r="K68" s="41">
        <v>114</v>
      </c>
    </row>
    <row r="69" spans="1:12" s="41" customFormat="1">
      <c r="D69" s="51" t="s">
        <v>308</v>
      </c>
      <c r="E69" s="44">
        <v>6</v>
      </c>
      <c r="F69" s="44"/>
      <c r="H69" s="44"/>
      <c r="I69" s="44"/>
      <c r="J69" s="44"/>
    </row>
    <row r="70" spans="1:12" s="41" customFormat="1">
      <c r="D70" s="51"/>
      <c r="E70" s="44"/>
      <c r="F70" s="44"/>
      <c r="H70" s="44"/>
      <c r="I70" s="44"/>
      <c r="J70" s="44"/>
    </row>
    <row r="71" spans="1:12" s="43" customFormat="1">
      <c r="A71" s="42"/>
      <c r="B71" s="42" t="s">
        <v>1305</v>
      </c>
      <c r="C71" s="42"/>
      <c r="D71" s="54"/>
      <c r="E71" s="46"/>
      <c r="F71" s="46"/>
      <c r="G71" s="42"/>
      <c r="H71" s="45"/>
      <c r="I71" s="46"/>
      <c r="J71" s="49"/>
      <c r="K71" s="42"/>
      <c r="L71" s="42"/>
    </row>
    <row r="72" spans="1:12" s="41" customFormat="1">
      <c r="B72" s="41" t="s">
        <v>329</v>
      </c>
      <c r="D72" s="53" t="s">
        <v>329</v>
      </c>
      <c r="E72" s="44"/>
      <c r="F72" s="44"/>
      <c r="G72" s="41">
        <v>131</v>
      </c>
      <c r="H72" s="44"/>
      <c r="I72" s="44"/>
      <c r="J72" s="44"/>
      <c r="K72" s="41">
        <v>131</v>
      </c>
    </row>
    <row r="73" spans="1:12" s="41" customFormat="1">
      <c r="D73" s="51" t="s">
        <v>328</v>
      </c>
      <c r="E73" s="44">
        <v>0</v>
      </c>
      <c r="F73" s="44">
        <v>1</v>
      </c>
      <c r="G73" s="41">
        <v>131</v>
      </c>
      <c r="H73" s="45">
        <f>K73-G73+1</f>
        <v>1</v>
      </c>
      <c r="I73" s="44" t="s">
        <v>1283</v>
      </c>
      <c r="J73" s="44"/>
      <c r="K73" s="41">
        <v>131</v>
      </c>
    </row>
    <row r="74" spans="1:12" s="41" customFormat="1">
      <c r="D74" s="51" t="s">
        <v>327</v>
      </c>
      <c r="E74" s="44">
        <v>2</v>
      </c>
      <c r="F74" s="44">
        <v>1</v>
      </c>
      <c r="G74" s="41">
        <v>131</v>
      </c>
      <c r="H74" s="45">
        <f>K74-G74+1</f>
        <v>1</v>
      </c>
      <c r="I74" s="44" t="s">
        <v>1283</v>
      </c>
      <c r="J74" s="44"/>
      <c r="K74" s="41">
        <v>131</v>
      </c>
    </row>
    <row r="75" spans="1:12" s="41" customFormat="1">
      <c r="D75" s="51" t="s">
        <v>308</v>
      </c>
      <c r="E75" s="44">
        <v>4</v>
      </c>
      <c r="F75" s="44"/>
      <c r="H75" s="44"/>
      <c r="I75" s="44"/>
      <c r="J75" s="44"/>
    </row>
    <row r="76" spans="1:12" s="41" customFormat="1">
      <c r="D76" s="51"/>
      <c r="E76" s="44"/>
      <c r="F76" s="44"/>
      <c r="H76" s="44"/>
      <c r="I76" s="44"/>
      <c r="J76" s="44"/>
    </row>
    <row r="77" spans="1:12" s="43" customFormat="1">
      <c r="A77" s="42"/>
      <c r="B77" s="42" t="s">
        <v>1306</v>
      </c>
      <c r="C77" s="42"/>
      <c r="D77" s="54"/>
      <c r="E77" s="46"/>
      <c r="F77" s="46"/>
      <c r="G77" s="42"/>
      <c r="H77" s="45"/>
      <c r="I77" s="46"/>
      <c r="J77" s="49"/>
      <c r="K77" s="42"/>
      <c r="L77" s="42"/>
    </row>
    <row r="78" spans="1:12" s="41" customFormat="1">
      <c r="B78" s="41" t="s">
        <v>326</v>
      </c>
      <c r="D78" s="51"/>
      <c r="E78" s="44"/>
      <c r="F78" s="44"/>
      <c r="G78" s="41">
        <v>141</v>
      </c>
      <c r="H78" s="44"/>
      <c r="I78" s="44"/>
      <c r="J78" s="44"/>
      <c r="K78" s="41">
        <v>141</v>
      </c>
    </row>
    <row r="79" spans="1:12" s="41" customFormat="1">
      <c r="D79" s="51" t="s">
        <v>325</v>
      </c>
      <c r="E79" s="44">
        <v>0</v>
      </c>
      <c r="F79" s="44">
        <v>1</v>
      </c>
      <c r="G79" s="41">
        <v>141</v>
      </c>
      <c r="H79" s="45">
        <f t="shared" ref="H79:H85" si="0">K79-G79+1</f>
        <v>1</v>
      </c>
      <c r="I79" s="44" t="s">
        <v>1283</v>
      </c>
      <c r="J79" s="44"/>
      <c r="K79" s="41">
        <v>141</v>
      </c>
    </row>
    <row r="80" spans="1:12" s="41" customFormat="1">
      <c r="D80" s="51" t="s">
        <v>324</v>
      </c>
      <c r="E80" s="44">
        <v>2</v>
      </c>
      <c r="F80" s="44">
        <v>1</v>
      </c>
      <c r="G80" s="41">
        <v>141</v>
      </c>
      <c r="H80" s="45">
        <f t="shared" si="0"/>
        <v>1</v>
      </c>
      <c r="I80" s="44" t="s">
        <v>1283</v>
      </c>
      <c r="J80" s="44"/>
      <c r="K80" s="41">
        <v>141</v>
      </c>
    </row>
    <row r="81" spans="1:12" s="41" customFormat="1">
      <c r="D81" s="51" t="s">
        <v>308</v>
      </c>
      <c r="E81" s="44">
        <v>4</v>
      </c>
      <c r="F81" s="44">
        <v>1</v>
      </c>
      <c r="G81" s="41">
        <v>141</v>
      </c>
      <c r="H81" s="45">
        <f t="shared" si="0"/>
        <v>1</v>
      </c>
      <c r="I81" s="44" t="s">
        <v>1283</v>
      </c>
      <c r="J81" s="44"/>
      <c r="K81" s="41">
        <v>141</v>
      </c>
    </row>
    <row r="82" spans="1:12" s="41" customFormat="1">
      <c r="D82" s="51" t="s">
        <v>323</v>
      </c>
      <c r="E82" s="44">
        <v>8</v>
      </c>
      <c r="F82" s="44">
        <v>1</v>
      </c>
      <c r="G82" s="41">
        <v>141</v>
      </c>
      <c r="H82" s="45">
        <f t="shared" si="0"/>
        <v>1</v>
      </c>
      <c r="I82" s="44" t="s">
        <v>1283</v>
      </c>
      <c r="J82" s="44"/>
      <c r="K82" s="41">
        <v>141</v>
      </c>
    </row>
    <row r="83" spans="1:12" s="41" customFormat="1">
      <c r="D83" s="51" t="s">
        <v>322</v>
      </c>
      <c r="E83" s="44">
        <v>10</v>
      </c>
      <c r="F83" s="44">
        <v>1</v>
      </c>
      <c r="G83" s="41">
        <v>141</v>
      </c>
      <c r="H83" s="45">
        <f t="shared" si="0"/>
        <v>1</v>
      </c>
      <c r="I83" s="44" t="s">
        <v>1283</v>
      </c>
      <c r="J83" s="44"/>
      <c r="K83" s="41">
        <v>141</v>
      </c>
    </row>
    <row r="84" spans="1:12" s="41" customFormat="1">
      <c r="D84" s="51" t="s">
        <v>321</v>
      </c>
      <c r="E84" s="44">
        <v>12</v>
      </c>
      <c r="F84" s="44">
        <v>1</v>
      </c>
      <c r="G84" s="41">
        <v>141</v>
      </c>
      <c r="H84" s="45">
        <f t="shared" si="0"/>
        <v>1</v>
      </c>
      <c r="I84" s="44" t="s">
        <v>1283</v>
      </c>
      <c r="J84" s="44"/>
      <c r="K84" s="41">
        <v>141</v>
      </c>
    </row>
    <row r="85" spans="1:12" s="41" customFormat="1">
      <c r="D85" s="51" t="s">
        <v>320</v>
      </c>
      <c r="E85" s="44">
        <v>14</v>
      </c>
      <c r="F85" s="44">
        <v>1</v>
      </c>
      <c r="G85" s="41">
        <v>141</v>
      </c>
      <c r="H85" s="45">
        <f t="shared" si="0"/>
        <v>1</v>
      </c>
      <c r="I85" s="44" t="s">
        <v>1283</v>
      </c>
      <c r="J85" s="44"/>
      <c r="K85" s="41">
        <v>141</v>
      </c>
    </row>
    <row r="86" spans="1:12" s="41" customFormat="1">
      <c r="D86" s="51"/>
      <c r="E86" s="44"/>
      <c r="F86" s="44"/>
      <c r="H86" s="44"/>
      <c r="I86" s="44"/>
      <c r="J86" s="44"/>
    </row>
    <row r="87" spans="1:12" s="43" customFormat="1">
      <c r="A87" s="42"/>
      <c r="B87" s="42" t="s">
        <v>1307</v>
      </c>
      <c r="C87" s="42"/>
      <c r="D87" s="54"/>
      <c r="E87" s="46"/>
      <c r="F87" s="46"/>
      <c r="G87" s="42"/>
      <c r="H87" s="45"/>
      <c r="I87" s="46"/>
      <c r="J87" s="49"/>
      <c r="K87" s="42"/>
      <c r="L87" s="42"/>
    </row>
    <row r="88" spans="1:12" s="41" customFormat="1">
      <c r="D88" s="51" t="s">
        <v>319</v>
      </c>
      <c r="E88" s="44"/>
      <c r="F88" s="44"/>
      <c r="G88" s="41">
        <v>201</v>
      </c>
      <c r="H88" s="45">
        <f t="shared" ref="H88:H119" si="1">K88-G88+1</f>
        <v>2</v>
      </c>
      <c r="I88" s="47" t="s">
        <v>351</v>
      </c>
      <c r="J88" s="48" t="s">
        <v>10</v>
      </c>
      <c r="K88" s="41">
        <v>202</v>
      </c>
    </row>
    <row r="89" spans="1:12" s="41" customFormat="1">
      <c r="D89" s="51" t="s">
        <v>1244</v>
      </c>
      <c r="E89" s="44"/>
      <c r="F89" s="44"/>
      <c r="G89" s="41">
        <v>203</v>
      </c>
      <c r="H89" s="45">
        <f t="shared" si="1"/>
        <v>2</v>
      </c>
      <c r="I89" s="47" t="s">
        <v>351</v>
      </c>
      <c r="J89" s="48" t="s">
        <v>10</v>
      </c>
      <c r="K89" s="41">
        <v>204</v>
      </c>
    </row>
    <row r="90" spans="1:12" s="41" customFormat="1">
      <c r="D90" s="51" t="s">
        <v>1243</v>
      </c>
      <c r="E90" s="44"/>
      <c r="F90" s="44"/>
      <c r="G90" s="41">
        <f t="shared" ref="G90:G128" si="2">G89+2</f>
        <v>205</v>
      </c>
      <c r="H90" s="45">
        <f t="shared" si="1"/>
        <v>2</v>
      </c>
      <c r="I90" s="47" t="s">
        <v>351</v>
      </c>
      <c r="J90" s="48" t="s">
        <v>10</v>
      </c>
      <c r="K90" s="41">
        <f t="shared" ref="K90:K128" si="3">K89+2</f>
        <v>206</v>
      </c>
    </row>
    <row r="91" spans="1:12" s="41" customFormat="1">
      <c r="D91" s="51" t="s">
        <v>1242</v>
      </c>
      <c r="E91" s="44"/>
      <c r="F91" s="44"/>
      <c r="G91" s="41">
        <f t="shared" si="2"/>
        <v>207</v>
      </c>
      <c r="H91" s="45">
        <f t="shared" si="1"/>
        <v>2</v>
      </c>
      <c r="I91" s="47" t="s">
        <v>351</v>
      </c>
      <c r="J91" s="48" t="s">
        <v>10</v>
      </c>
      <c r="K91" s="41">
        <f t="shared" si="3"/>
        <v>208</v>
      </c>
    </row>
    <row r="92" spans="1:12" s="41" customFormat="1">
      <c r="D92" s="51" t="s">
        <v>394</v>
      </c>
      <c r="E92" s="44"/>
      <c r="F92" s="44"/>
      <c r="G92" s="41">
        <f t="shared" si="2"/>
        <v>209</v>
      </c>
      <c r="H92" s="45">
        <f t="shared" si="1"/>
        <v>2</v>
      </c>
      <c r="I92" s="47" t="s">
        <v>351</v>
      </c>
      <c r="J92" s="48" t="s">
        <v>33</v>
      </c>
      <c r="K92" s="41">
        <f t="shared" si="3"/>
        <v>210</v>
      </c>
    </row>
    <row r="93" spans="1:12" s="41" customFormat="1">
      <c r="D93" s="51" t="s">
        <v>393</v>
      </c>
      <c r="E93" s="44"/>
      <c r="F93" s="44"/>
      <c r="G93" s="41">
        <f t="shared" si="2"/>
        <v>211</v>
      </c>
      <c r="H93" s="45">
        <f t="shared" si="1"/>
        <v>2</v>
      </c>
      <c r="I93" s="47" t="s">
        <v>351</v>
      </c>
      <c r="J93" s="48" t="s">
        <v>33</v>
      </c>
      <c r="K93" s="41">
        <f t="shared" si="3"/>
        <v>212</v>
      </c>
    </row>
    <row r="94" spans="1:12" s="41" customFormat="1">
      <c r="D94" s="51" t="s">
        <v>392</v>
      </c>
      <c r="E94" s="44"/>
      <c r="F94" s="44"/>
      <c r="G94" s="41">
        <f t="shared" si="2"/>
        <v>213</v>
      </c>
      <c r="H94" s="45">
        <f t="shared" si="1"/>
        <v>2</v>
      </c>
      <c r="I94" s="47" t="s">
        <v>351</v>
      </c>
      <c r="J94" s="48" t="s">
        <v>33</v>
      </c>
      <c r="K94" s="41">
        <f t="shared" si="3"/>
        <v>214</v>
      </c>
    </row>
    <row r="95" spans="1:12" s="41" customFormat="1">
      <c r="D95" s="51" t="s">
        <v>1240</v>
      </c>
      <c r="E95" s="44"/>
      <c r="F95" s="44"/>
      <c r="G95" s="41">
        <f t="shared" si="2"/>
        <v>215</v>
      </c>
      <c r="H95" s="45">
        <f t="shared" si="1"/>
        <v>2</v>
      </c>
      <c r="I95" s="47" t="s">
        <v>351</v>
      </c>
      <c r="J95" s="48" t="s">
        <v>33</v>
      </c>
      <c r="K95" s="41">
        <f t="shared" si="3"/>
        <v>216</v>
      </c>
    </row>
    <row r="96" spans="1:12" s="41" customFormat="1">
      <c r="D96" s="51" t="s">
        <v>397</v>
      </c>
      <c r="E96" s="44"/>
      <c r="F96" s="44"/>
      <c r="G96" s="41">
        <f t="shared" si="2"/>
        <v>217</v>
      </c>
      <c r="H96" s="45">
        <f t="shared" si="1"/>
        <v>2</v>
      </c>
      <c r="I96" s="47" t="s">
        <v>351</v>
      </c>
      <c r="J96" s="48" t="s">
        <v>10</v>
      </c>
      <c r="K96" s="41">
        <f t="shared" si="3"/>
        <v>218</v>
      </c>
    </row>
    <row r="97" spans="4:11" s="41" customFormat="1">
      <c r="D97" s="51" t="s">
        <v>396</v>
      </c>
      <c r="E97" s="44"/>
      <c r="F97" s="44"/>
      <c r="G97" s="41">
        <f t="shared" si="2"/>
        <v>219</v>
      </c>
      <c r="H97" s="45">
        <f t="shared" si="1"/>
        <v>2</v>
      </c>
      <c r="I97" s="47" t="s">
        <v>351</v>
      </c>
      <c r="J97" s="48" t="s">
        <v>10</v>
      </c>
      <c r="K97" s="41">
        <f t="shared" si="3"/>
        <v>220</v>
      </c>
    </row>
    <row r="98" spans="4:11" s="41" customFormat="1">
      <c r="D98" s="51" t="s">
        <v>395</v>
      </c>
      <c r="E98" s="44"/>
      <c r="F98" s="44"/>
      <c r="G98" s="41">
        <f t="shared" si="2"/>
        <v>221</v>
      </c>
      <c r="H98" s="45">
        <f t="shared" si="1"/>
        <v>2</v>
      </c>
      <c r="I98" s="47" t="s">
        <v>351</v>
      </c>
      <c r="J98" s="48" t="s">
        <v>10</v>
      </c>
      <c r="K98" s="41">
        <f t="shared" si="3"/>
        <v>222</v>
      </c>
    </row>
    <row r="99" spans="4:11" s="41" customFormat="1">
      <c r="D99" s="51" t="s">
        <v>1241</v>
      </c>
      <c r="E99" s="44"/>
      <c r="F99" s="44"/>
      <c r="G99" s="41">
        <f t="shared" si="2"/>
        <v>223</v>
      </c>
      <c r="H99" s="45">
        <f t="shared" si="1"/>
        <v>2</v>
      </c>
      <c r="I99" s="47" t="s">
        <v>351</v>
      </c>
      <c r="J99" s="48" t="s">
        <v>10</v>
      </c>
      <c r="K99" s="41">
        <f t="shared" si="3"/>
        <v>224</v>
      </c>
    </row>
    <row r="100" spans="4:11" s="41" customFormat="1">
      <c r="D100" s="51" t="s">
        <v>1239</v>
      </c>
      <c r="E100" s="44"/>
      <c r="F100" s="44"/>
      <c r="G100" s="41">
        <f t="shared" si="2"/>
        <v>225</v>
      </c>
      <c r="H100" s="45">
        <f t="shared" si="1"/>
        <v>2</v>
      </c>
      <c r="I100" s="47" t="s">
        <v>351</v>
      </c>
      <c r="J100" s="48" t="s">
        <v>33</v>
      </c>
      <c r="K100" s="41">
        <f t="shared" si="3"/>
        <v>226</v>
      </c>
    </row>
    <row r="101" spans="4:11" s="41" customFormat="1">
      <c r="D101" s="51" t="s">
        <v>388</v>
      </c>
      <c r="E101" s="44"/>
      <c r="F101" s="44"/>
      <c r="G101" s="41">
        <f t="shared" si="2"/>
        <v>227</v>
      </c>
      <c r="H101" s="45">
        <f t="shared" si="1"/>
        <v>2</v>
      </c>
      <c r="I101" s="47" t="s">
        <v>351</v>
      </c>
      <c r="J101" s="48" t="s">
        <v>18</v>
      </c>
      <c r="K101" s="41">
        <f t="shared" si="3"/>
        <v>228</v>
      </c>
    </row>
    <row r="102" spans="4:11" s="41" customFormat="1">
      <c r="D102" s="51" t="s">
        <v>387</v>
      </c>
      <c r="E102" s="44"/>
      <c r="F102" s="44"/>
      <c r="G102" s="41">
        <f t="shared" si="2"/>
        <v>229</v>
      </c>
      <c r="H102" s="45">
        <f t="shared" si="1"/>
        <v>2</v>
      </c>
      <c r="I102" s="47" t="s">
        <v>351</v>
      </c>
      <c r="J102" s="48" t="s">
        <v>18</v>
      </c>
      <c r="K102" s="41">
        <f t="shared" si="3"/>
        <v>230</v>
      </c>
    </row>
    <row r="103" spans="4:11" s="41" customFormat="1">
      <c r="D103" s="51" t="s">
        <v>386</v>
      </c>
      <c r="E103" s="44"/>
      <c r="F103" s="44"/>
      <c r="G103" s="41">
        <f t="shared" si="2"/>
        <v>231</v>
      </c>
      <c r="H103" s="45">
        <f t="shared" si="1"/>
        <v>2</v>
      </c>
      <c r="I103" s="47" t="s">
        <v>351</v>
      </c>
      <c r="J103" s="48" t="s">
        <v>18</v>
      </c>
      <c r="K103" s="41">
        <f t="shared" si="3"/>
        <v>232</v>
      </c>
    </row>
    <row r="104" spans="4:11" s="41" customFormat="1">
      <c r="D104" s="51" t="s">
        <v>1238</v>
      </c>
      <c r="E104" s="44"/>
      <c r="F104" s="44"/>
      <c r="G104" s="41">
        <f t="shared" si="2"/>
        <v>233</v>
      </c>
      <c r="H104" s="45">
        <f t="shared" si="1"/>
        <v>2</v>
      </c>
      <c r="I104" s="47" t="s">
        <v>351</v>
      </c>
      <c r="J104" s="48" t="s">
        <v>18</v>
      </c>
      <c r="K104" s="41">
        <f t="shared" si="3"/>
        <v>234</v>
      </c>
    </row>
    <row r="105" spans="4:11" s="41" customFormat="1">
      <c r="D105" s="51" t="s">
        <v>385</v>
      </c>
      <c r="E105" s="44"/>
      <c r="F105" s="44"/>
      <c r="G105" s="41">
        <f t="shared" si="2"/>
        <v>235</v>
      </c>
      <c r="H105" s="45">
        <f t="shared" si="1"/>
        <v>2</v>
      </c>
      <c r="I105" s="47" t="s">
        <v>351</v>
      </c>
      <c r="J105" s="48" t="s">
        <v>312</v>
      </c>
      <c r="K105" s="41">
        <f t="shared" si="3"/>
        <v>236</v>
      </c>
    </row>
    <row r="106" spans="4:11" s="41" customFormat="1">
      <c r="D106" s="51" t="s">
        <v>384</v>
      </c>
      <c r="E106" s="44"/>
      <c r="F106" s="44"/>
      <c r="G106" s="41">
        <f t="shared" si="2"/>
        <v>237</v>
      </c>
      <c r="H106" s="45">
        <f t="shared" si="1"/>
        <v>2</v>
      </c>
      <c r="I106" s="47" t="s">
        <v>351</v>
      </c>
      <c r="J106" s="48" t="s">
        <v>312</v>
      </c>
      <c r="K106" s="41">
        <f t="shared" si="3"/>
        <v>238</v>
      </c>
    </row>
    <row r="107" spans="4:11" s="41" customFormat="1">
      <c r="D107" s="51" t="s">
        <v>383</v>
      </c>
      <c r="E107" s="44"/>
      <c r="F107" s="44"/>
      <c r="G107" s="41">
        <f t="shared" si="2"/>
        <v>239</v>
      </c>
      <c r="H107" s="45">
        <f t="shared" si="1"/>
        <v>2</v>
      </c>
      <c r="I107" s="47" t="s">
        <v>351</v>
      </c>
      <c r="J107" s="48" t="s">
        <v>312</v>
      </c>
      <c r="K107" s="41">
        <f t="shared" si="3"/>
        <v>240</v>
      </c>
    </row>
    <row r="108" spans="4:11" s="41" customFormat="1">
      <c r="D108" s="51" t="s">
        <v>1237</v>
      </c>
      <c r="E108" s="44"/>
      <c r="F108" s="44"/>
      <c r="G108" s="41">
        <f t="shared" si="2"/>
        <v>241</v>
      </c>
      <c r="H108" s="45">
        <f t="shared" si="1"/>
        <v>2</v>
      </c>
      <c r="I108" s="47" t="s">
        <v>351</v>
      </c>
      <c r="J108" s="48" t="s">
        <v>312</v>
      </c>
      <c r="K108" s="41">
        <f t="shared" si="3"/>
        <v>242</v>
      </c>
    </row>
    <row r="109" spans="4:11" s="41" customFormat="1">
      <c r="D109" s="51" t="s">
        <v>391</v>
      </c>
      <c r="E109" s="44"/>
      <c r="F109" s="44"/>
      <c r="G109" s="41">
        <f t="shared" si="2"/>
        <v>243</v>
      </c>
      <c r="H109" s="45">
        <f t="shared" si="1"/>
        <v>2</v>
      </c>
      <c r="I109" s="47" t="s">
        <v>351</v>
      </c>
      <c r="J109" s="48" t="s">
        <v>21</v>
      </c>
      <c r="K109" s="41">
        <f t="shared" si="3"/>
        <v>244</v>
      </c>
    </row>
    <row r="110" spans="4:11" s="41" customFormat="1">
      <c r="D110" s="51" t="s">
        <v>390</v>
      </c>
      <c r="E110" s="44"/>
      <c r="F110" s="44"/>
      <c r="G110" s="41">
        <f t="shared" si="2"/>
        <v>245</v>
      </c>
      <c r="H110" s="45">
        <f t="shared" si="1"/>
        <v>2</v>
      </c>
      <c r="I110" s="47" t="s">
        <v>351</v>
      </c>
      <c r="J110" s="48" t="s">
        <v>21</v>
      </c>
      <c r="K110" s="41">
        <f t="shared" si="3"/>
        <v>246</v>
      </c>
    </row>
    <row r="111" spans="4:11" s="41" customFormat="1">
      <c r="D111" s="51" t="s">
        <v>389</v>
      </c>
      <c r="E111" s="44"/>
      <c r="F111" s="44"/>
      <c r="G111" s="41">
        <f t="shared" si="2"/>
        <v>247</v>
      </c>
      <c r="H111" s="45">
        <f t="shared" si="1"/>
        <v>2</v>
      </c>
      <c r="I111" s="47" t="s">
        <v>351</v>
      </c>
      <c r="J111" s="48" t="s">
        <v>21</v>
      </c>
      <c r="K111" s="41">
        <f t="shared" si="3"/>
        <v>248</v>
      </c>
    </row>
    <row r="112" spans="4:11" s="41" customFormat="1">
      <c r="D112" s="51" t="s">
        <v>1236</v>
      </c>
      <c r="E112" s="44"/>
      <c r="F112" s="44"/>
      <c r="G112" s="41">
        <f t="shared" si="2"/>
        <v>249</v>
      </c>
      <c r="H112" s="45">
        <f t="shared" si="1"/>
        <v>2</v>
      </c>
      <c r="I112" s="47" t="s">
        <v>351</v>
      </c>
      <c r="J112" s="48" t="s">
        <v>21</v>
      </c>
      <c r="K112" s="41">
        <f t="shared" si="3"/>
        <v>250</v>
      </c>
    </row>
    <row r="113" spans="4:11" s="41" customFormat="1">
      <c r="D113" s="51" t="s">
        <v>376</v>
      </c>
      <c r="E113" s="44"/>
      <c r="F113" s="44"/>
      <c r="G113" s="41">
        <f t="shared" si="2"/>
        <v>251</v>
      </c>
      <c r="H113" s="45">
        <f t="shared" si="1"/>
        <v>2</v>
      </c>
      <c r="I113" s="47" t="s">
        <v>351</v>
      </c>
      <c r="J113" s="48" t="s">
        <v>303</v>
      </c>
      <c r="K113" s="41">
        <f t="shared" si="3"/>
        <v>252</v>
      </c>
    </row>
    <row r="114" spans="4:11" s="41" customFormat="1">
      <c r="D114" s="51" t="s">
        <v>375</v>
      </c>
      <c r="E114" s="44"/>
      <c r="F114" s="44"/>
      <c r="G114" s="41">
        <f t="shared" si="2"/>
        <v>253</v>
      </c>
      <c r="H114" s="45">
        <f t="shared" si="1"/>
        <v>2</v>
      </c>
      <c r="I114" s="47" t="s">
        <v>351</v>
      </c>
      <c r="J114" s="48" t="s">
        <v>303</v>
      </c>
      <c r="K114" s="41">
        <f t="shared" si="3"/>
        <v>254</v>
      </c>
    </row>
    <row r="115" spans="4:11" s="41" customFormat="1">
      <c r="D115" s="51" t="s">
        <v>374</v>
      </c>
      <c r="E115" s="44"/>
      <c r="F115" s="44"/>
      <c r="G115" s="41">
        <f t="shared" si="2"/>
        <v>255</v>
      </c>
      <c r="H115" s="45">
        <f t="shared" si="1"/>
        <v>2</v>
      </c>
      <c r="I115" s="47" t="s">
        <v>351</v>
      </c>
      <c r="J115" s="48" t="s">
        <v>303</v>
      </c>
      <c r="K115" s="41">
        <f t="shared" si="3"/>
        <v>256</v>
      </c>
    </row>
    <row r="116" spans="4:11" s="41" customFormat="1">
      <c r="D116" s="51" t="s">
        <v>373</v>
      </c>
      <c r="E116" s="44"/>
      <c r="F116" s="44"/>
      <c r="G116" s="41">
        <f t="shared" si="2"/>
        <v>257</v>
      </c>
      <c r="H116" s="45">
        <f t="shared" si="1"/>
        <v>2</v>
      </c>
      <c r="I116" s="47" t="s">
        <v>351</v>
      </c>
      <c r="J116" s="48" t="s">
        <v>303</v>
      </c>
      <c r="K116" s="41">
        <f t="shared" si="3"/>
        <v>258</v>
      </c>
    </row>
    <row r="117" spans="4:11" s="41" customFormat="1">
      <c r="D117" s="51" t="s">
        <v>379</v>
      </c>
      <c r="E117" s="44"/>
      <c r="F117" s="44"/>
      <c r="G117" s="41">
        <f t="shared" si="2"/>
        <v>259</v>
      </c>
      <c r="H117" s="45">
        <f t="shared" si="1"/>
        <v>2</v>
      </c>
      <c r="I117" s="47" t="s">
        <v>351</v>
      </c>
      <c r="J117" s="48" t="s">
        <v>303</v>
      </c>
      <c r="K117" s="41">
        <f t="shared" si="3"/>
        <v>260</v>
      </c>
    </row>
    <row r="118" spans="4:11" s="41" customFormat="1">
      <c r="D118" s="51" t="s">
        <v>378</v>
      </c>
      <c r="E118" s="44"/>
      <c r="F118" s="44"/>
      <c r="G118" s="41">
        <f t="shared" si="2"/>
        <v>261</v>
      </c>
      <c r="H118" s="45">
        <f t="shared" si="1"/>
        <v>2</v>
      </c>
      <c r="I118" s="47" t="s">
        <v>351</v>
      </c>
      <c r="J118" s="48" t="s">
        <v>303</v>
      </c>
      <c r="K118" s="41">
        <f t="shared" si="3"/>
        <v>262</v>
      </c>
    </row>
    <row r="119" spans="4:11" s="41" customFormat="1">
      <c r="D119" s="51" t="s">
        <v>377</v>
      </c>
      <c r="E119" s="44"/>
      <c r="F119" s="44"/>
      <c r="G119" s="41">
        <f t="shared" si="2"/>
        <v>263</v>
      </c>
      <c r="H119" s="45">
        <f t="shared" si="1"/>
        <v>2</v>
      </c>
      <c r="I119" s="47" t="s">
        <v>351</v>
      </c>
      <c r="J119" s="48" t="s">
        <v>303</v>
      </c>
      <c r="K119" s="41">
        <f t="shared" si="3"/>
        <v>264</v>
      </c>
    </row>
    <row r="120" spans="4:11" s="41" customFormat="1">
      <c r="D120" s="51" t="s">
        <v>1235</v>
      </c>
      <c r="E120" s="44"/>
      <c r="F120" s="44"/>
      <c r="G120" s="41">
        <f t="shared" si="2"/>
        <v>265</v>
      </c>
      <c r="H120" s="45">
        <f t="shared" ref="H120:H143" si="4">K120-G120+1</f>
        <v>2</v>
      </c>
      <c r="I120" s="47" t="s">
        <v>351</v>
      </c>
      <c r="J120" s="48" t="s">
        <v>303</v>
      </c>
      <c r="K120" s="41">
        <f t="shared" si="3"/>
        <v>266</v>
      </c>
    </row>
    <row r="121" spans="4:11" s="41" customFormat="1">
      <c r="D121" s="51" t="s">
        <v>364</v>
      </c>
      <c r="E121" s="44"/>
      <c r="F121" s="44"/>
      <c r="G121" s="41">
        <f t="shared" si="2"/>
        <v>267</v>
      </c>
      <c r="H121" s="45">
        <f t="shared" si="4"/>
        <v>2</v>
      </c>
      <c r="I121" s="47" t="s">
        <v>351</v>
      </c>
      <c r="J121" s="48" t="s">
        <v>1290</v>
      </c>
      <c r="K121" s="41">
        <f t="shared" si="3"/>
        <v>268</v>
      </c>
    </row>
    <row r="122" spans="4:11" s="41" customFormat="1">
      <c r="D122" s="51" t="s">
        <v>363</v>
      </c>
      <c r="E122" s="44"/>
      <c r="F122" s="44"/>
      <c r="G122" s="41">
        <f t="shared" si="2"/>
        <v>269</v>
      </c>
      <c r="H122" s="45">
        <f t="shared" si="4"/>
        <v>2</v>
      </c>
      <c r="I122" s="47" t="s">
        <v>351</v>
      </c>
      <c r="J122" s="48" t="s">
        <v>1290</v>
      </c>
      <c r="K122" s="41">
        <f t="shared" si="3"/>
        <v>270</v>
      </c>
    </row>
    <row r="123" spans="4:11" s="41" customFormat="1">
      <c r="D123" s="51" t="s">
        <v>362</v>
      </c>
      <c r="E123" s="44"/>
      <c r="F123" s="44"/>
      <c r="G123" s="41">
        <f t="shared" si="2"/>
        <v>271</v>
      </c>
      <c r="H123" s="45">
        <f t="shared" si="4"/>
        <v>2</v>
      </c>
      <c r="I123" s="47" t="s">
        <v>351</v>
      </c>
      <c r="J123" s="48" t="s">
        <v>1290</v>
      </c>
      <c r="K123" s="41">
        <f t="shared" si="3"/>
        <v>272</v>
      </c>
    </row>
    <row r="124" spans="4:11" s="41" customFormat="1">
      <c r="D124" s="51" t="s">
        <v>361</v>
      </c>
      <c r="E124" s="44"/>
      <c r="F124" s="44"/>
      <c r="G124" s="41">
        <f t="shared" si="2"/>
        <v>273</v>
      </c>
      <c r="H124" s="45">
        <f t="shared" si="4"/>
        <v>2</v>
      </c>
      <c r="I124" s="47" t="s">
        <v>351</v>
      </c>
      <c r="J124" s="48" t="s">
        <v>1290</v>
      </c>
      <c r="K124" s="41">
        <f t="shared" si="3"/>
        <v>274</v>
      </c>
    </row>
    <row r="125" spans="4:11" s="41" customFormat="1">
      <c r="D125" s="51" t="s">
        <v>1234</v>
      </c>
      <c r="E125" s="44"/>
      <c r="F125" s="44"/>
      <c r="G125" s="41">
        <f t="shared" si="2"/>
        <v>275</v>
      </c>
      <c r="H125" s="45">
        <f t="shared" si="4"/>
        <v>2</v>
      </c>
      <c r="I125" s="47" t="s">
        <v>351</v>
      </c>
      <c r="J125" s="48" t="s">
        <v>11</v>
      </c>
      <c r="K125" s="41">
        <f t="shared" si="3"/>
        <v>276</v>
      </c>
    </row>
    <row r="126" spans="4:11" s="41" customFormat="1">
      <c r="D126" s="51" t="s">
        <v>360</v>
      </c>
      <c r="E126" s="44"/>
      <c r="F126" s="44"/>
      <c r="G126" s="41">
        <f t="shared" si="2"/>
        <v>277</v>
      </c>
      <c r="H126" s="45">
        <f t="shared" si="4"/>
        <v>2</v>
      </c>
      <c r="I126" s="47" t="s">
        <v>351</v>
      </c>
      <c r="J126" s="48" t="s">
        <v>358</v>
      </c>
      <c r="K126" s="41">
        <f t="shared" si="3"/>
        <v>278</v>
      </c>
    </row>
    <row r="127" spans="4:11" s="41" customFormat="1">
      <c r="D127" s="51" t="s">
        <v>359</v>
      </c>
      <c r="E127" s="44"/>
      <c r="F127" s="44"/>
      <c r="G127" s="41">
        <f t="shared" si="2"/>
        <v>279</v>
      </c>
      <c r="H127" s="45">
        <f t="shared" si="4"/>
        <v>2</v>
      </c>
      <c r="I127" s="47" t="s">
        <v>351</v>
      </c>
      <c r="J127" s="48" t="s">
        <v>358</v>
      </c>
      <c r="K127" s="41">
        <f t="shared" si="3"/>
        <v>280</v>
      </c>
    </row>
    <row r="128" spans="4:11" s="41" customFormat="1">
      <c r="D128" s="51" t="s">
        <v>303</v>
      </c>
      <c r="E128" s="44"/>
      <c r="F128" s="44"/>
      <c r="G128" s="41">
        <f t="shared" si="2"/>
        <v>281</v>
      </c>
      <c r="H128" s="45">
        <f t="shared" si="4"/>
        <v>2</v>
      </c>
      <c r="I128" s="47" t="s">
        <v>351</v>
      </c>
      <c r="J128" s="48" t="s">
        <v>303</v>
      </c>
      <c r="K128" s="41">
        <f t="shared" si="3"/>
        <v>282</v>
      </c>
    </row>
    <row r="129" spans="4:11" s="41" customFormat="1">
      <c r="D129" s="51" t="s">
        <v>372</v>
      </c>
      <c r="E129" s="44"/>
      <c r="F129" s="44"/>
      <c r="G129" s="41">
        <v>293</v>
      </c>
      <c r="H129" s="45">
        <f t="shared" si="4"/>
        <v>2</v>
      </c>
      <c r="I129" s="47" t="s">
        <v>351</v>
      </c>
      <c r="J129" s="48" t="s">
        <v>11</v>
      </c>
      <c r="K129" s="41">
        <v>294</v>
      </c>
    </row>
    <row r="130" spans="4:11" s="41" customFormat="1">
      <c r="D130" s="51" t="s">
        <v>357</v>
      </c>
      <c r="E130" s="44"/>
      <c r="F130" s="44"/>
      <c r="G130" s="41">
        <f t="shared" ref="G130:G143" si="5">G129+2</f>
        <v>295</v>
      </c>
      <c r="H130" s="45">
        <f t="shared" si="4"/>
        <v>2</v>
      </c>
      <c r="I130" s="47" t="s">
        <v>351</v>
      </c>
      <c r="J130" s="48" t="s">
        <v>303</v>
      </c>
      <c r="K130" s="41">
        <f t="shared" ref="K130:K143" si="6">K129+2</f>
        <v>296</v>
      </c>
    </row>
    <row r="131" spans="4:11" s="41" customFormat="1">
      <c r="D131" s="51" t="s">
        <v>356</v>
      </c>
      <c r="E131" s="44"/>
      <c r="F131" s="44"/>
      <c r="G131" s="41">
        <f t="shared" si="5"/>
        <v>297</v>
      </c>
      <c r="H131" s="45">
        <f t="shared" si="4"/>
        <v>2</v>
      </c>
      <c r="I131" s="47" t="s">
        <v>351</v>
      </c>
      <c r="J131" s="48" t="s">
        <v>303</v>
      </c>
      <c r="K131" s="41">
        <f t="shared" si="6"/>
        <v>298</v>
      </c>
    </row>
    <row r="132" spans="4:11" s="41" customFormat="1">
      <c r="D132" s="51" t="s">
        <v>355</v>
      </c>
      <c r="E132" s="44"/>
      <c r="F132" s="44"/>
      <c r="G132" s="41">
        <f t="shared" si="5"/>
        <v>299</v>
      </c>
      <c r="H132" s="45">
        <f t="shared" si="4"/>
        <v>2</v>
      </c>
      <c r="I132" s="47" t="s">
        <v>351</v>
      </c>
      <c r="J132" s="48" t="s">
        <v>303</v>
      </c>
      <c r="K132" s="41">
        <f t="shared" si="6"/>
        <v>300</v>
      </c>
    </row>
    <row r="133" spans="4:11" s="41" customFormat="1">
      <c r="D133" s="51" t="s">
        <v>371</v>
      </c>
      <c r="E133" s="44"/>
      <c r="F133" s="44"/>
      <c r="G133" s="41">
        <f t="shared" si="5"/>
        <v>301</v>
      </c>
      <c r="H133" s="45">
        <f t="shared" si="4"/>
        <v>2</v>
      </c>
      <c r="I133" s="47" t="s">
        <v>351</v>
      </c>
      <c r="J133" s="48" t="s">
        <v>303</v>
      </c>
      <c r="K133" s="41">
        <f t="shared" si="6"/>
        <v>302</v>
      </c>
    </row>
    <row r="134" spans="4:11" s="41" customFormat="1">
      <c r="D134" s="51" t="s">
        <v>370</v>
      </c>
      <c r="E134" s="44"/>
      <c r="F134" s="44"/>
      <c r="G134" s="41">
        <f t="shared" si="5"/>
        <v>303</v>
      </c>
      <c r="H134" s="45">
        <f t="shared" si="4"/>
        <v>2</v>
      </c>
      <c r="I134" s="47" t="s">
        <v>351</v>
      </c>
      <c r="J134" s="48" t="s">
        <v>303</v>
      </c>
      <c r="K134" s="41">
        <f t="shared" si="6"/>
        <v>304</v>
      </c>
    </row>
    <row r="135" spans="4:11" s="41" customFormat="1">
      <c r="D135" s="51" t="s">
        <v>369</v>
      </c>
      <c r="E135" s="44"/>
      <c r="F135" s="44"/>
      <c r="G135" s="41">
        <f t="shared" si="5"/>
        <v>305</v>
      </c>
      <c r="H135" s="45">
        <f t="shared" si="4"/>
        <v>2</v>
      </c>
      <c r="I135" s="47" t="s">
        <v>351</v>
      </c>
      <c r="J135" s="48" t="s">
        <v>303</v>
      </c>
      <c r="K135" s="41">
        <f t="shared" si="6"/>
        <v>306</v>
      </c>
    </row>
    <row r="136" spans="4:11" s="41" customFormat="1">
      <c r="D136" s="51" t="s">
        <v>368</v>
      </c>
      <c r="E136" s="44"/>
      <c r="F136" s="44"/>
      <c r="G136" s="41">
        <f t="shared" si="5"/>
        <v>307</v>
      </c>
      <c r="H136" s="45">
        <f t="shared" si="4"/>
        <v>2</v>
      </c>
      <c r="I136" s="47" t="s">
        <v>351</v>
      </c>
      <c r="J136" s="48" t="s">
        <v>1290</v>
      </c>
      <c r="K136" s="41">
        <f t="shared" si="6"/>
        <v>308</v>
      </c>
    </row>
    <row r="137" spans="4:11" s="41" customFormat="1">
      <c r="D137" s="51" t="s">
        <v>367</v>
      </c>
      <c r="E137" s="44"/>
      <c r="F137" s="44"/>
      <c r="G137" s="41">
        <f t="shared" si="5"/>
        <v>309</v>
      </c>
      <c r="H137" s="45">
        <f t="shared" si="4"/>
        <v>2</v>
      </c>
      <c r="I137" s="47" t="s">
        <v>351</v>
      </c>
      <c r="J137" s="48" t="s">
        <v>1290</v>
      </c>
      <c r="K137" s="41">
        <f t="shared" si="6"/>
        <v>310</v>
      </c>
    </row>
    <row r="138" spans="4:11" s="41" customFormat="1">
      <c r="D138" s="51" t="s">
        <v>366</v>
      </c>
      <c r="E138" s="44"/>
      <c r="F138" s="44"/>
      <c r="G138" s="41">
        <f t="shared" si="5"/>
        <v>311</v>
      </c>
      <c r="H138" s="45">
        <f t="shared" si="4"/>
        <v>2</v>
      </c>
      <c r="I138" s="47" t="s">
        <v>351</v>
      </c>
      <c r="J138" s="48" t="s">
        <v>1290</v>
      </c>
      <c r="K138" s="41">
        <f t="shared" si="6"/>
        <v>312</v>
      </c>
    </row>
    <row r="139" spans="4:11" s="41" customFormat="1">
      <c r="D139" s="51" t="s">
        <v>365</v>
      </c>
      <c r="E139" s="44"/>
      <c r="F139" s="44"/>
      <c r="G139" s="41">
        <f t="shared" si="5"/>
        <v>313</v>
      </c>
      <c r="H139" s="45">
        <f t="shared" si="4"/>
        <v>2</v>
      </c>
      <c r="I139" s="47" t="s">
        <v>351</v>
      </c>
      <c r="J139" s="48" t="s">
        <v>1290</v>
      </c>
      <c r="K139" s="41">
        <f t="shared" si="6"/>
        <v>314</v>
      </c>
    </row>
    <row r="140" spans="4:11" s="41" customFormat="1">
      <c r="D140" s="51" t="s">
        <v>382</v>
      </c>
      <c r="E140" s="44"/>
      <c r="F140" s="44"/>
      <c r="G140" s="41">
        <f t="shared" si="5"/>
        <v>315</v>
      </c>
      <c r="H140" s="45">
        <f t="shared" si="4"/>
        <v>2</v>
      </c>
      <c r="I140" s="47" t="s">
        <v>351</v>
      </c>
      <c r="J140" s="48" t="s">
        <v>312</v>
      </c>
      <c r="K140" s="41">
        <f t="shared" si="6"/>
        <v>316</v>
      </c>
    </row>
    <row r="141" spans="4:11" s="41" customFormat="1">
      <c r="D141" s="51" t="s">
        <v>381</v>
      </c>
      <c r="E141" s="44"/>
      <c r="F141" s="44"/>
      <c r="G141" s="41">
        <f t="shared" si="5"/>
        <v>317</v>
      </c>
      <c r="H141" s="45">
        <f t="shared" si="4"/>
        <v>2</v>
      </c>
      <c r="I141" s="47" t="s">
        <v>351</v>
      </c>
      <c r="J141" s="48" t="s">
        <v>312</v>
      </c>
      <c r="K141" s="41">
        <f t="shared" si="6"/>
        <v>318</v>
      </c>
    </row>
    <row r="142" spans="4:11" s="41" customFormat="1">
      <c r="D142" s="51" t="s">
        <v>380</v>
      </c>
      <c r="E142" s="44"/>
      <c r="F142" s="44"/>
      <c r="G142" s="41">
        <f t="shared" si="5"/>
        <v>319</v>
      </c>
      <c r="H142" s="45">
        <f t="shared" si="4"/>
        <v>2</v>
      </c>
      <c r="I142" s="47" t="s">
        <v>351</v>
      </c>
      <c r="J142" s="48" t="s">
        <v>312</v>
      </c>
      <c r="K142" s="41">
        <f t="shared" si="6"/>
        <v>320</v>
      </c>
    </row>
    <row r="143" spans="4:11" s="41" customFormat="1">
      <c r="D143" s="51" t="s">
        <v>318</v>
      </c>
      <c r="E143" s="44"/>
      <c r="F143" s="44"/>
      <c r="G143" s="41">
        <f t="shared" si="5"/>
        <v>321</v>
      </c>
      <c r="H143" s="45">
        <f t="shared" si="4"/>
        <v>2</v>
      </c>
      <c r="I143" s="47" t="s">
        <v>351</v>
      </c>
      <c r="J143" s="48" t="s">
        <v>312</v>
      </c>
      <c r="K143" s="41">
        <f t="shared" si="6"/>
        <v>322</v>
      </c>
    </row>
    <row r="144" spans="4:11" s="41" customFormat="1">
      <c r="D144" s="51"/>
      <c r="E144" s="44"/>
      <c r="F144" s="44"/>
      <c r="H144" s="44"/>
      <c r="I144" s="44"/>
      <c r="J144" s="44"/>
    </row>
    <row r="145" spans="1:12" s="43" customFormat="1">
      <c r="A145" s="42"/>
      <c r="B145" s="42" t="s">
        <v>1308</v>
      </c>
      <c r="C145" s="42"/>
      <c r="D145" s="54"/>
      <c r="E145" s="46"/>
      <c r="F145" s="46"/>
      <c r="G145" s="42"/>
      <c r="H145" s="45"/>
      <c r="I145" s="46"/>
      <c r="J145" s="49"/>
      <c r="K145" s="42"/>
      <c r="L145" s="42"/>
    </row>
    <row r="146" spans="1:12" s="41" customFormat="1">
      <c r="D146" s="51" t="s">
        <v>354</v>
      </c>
      <c r="E146" s="44"/>
      <c r="F146" s="44"/>
      <c r="G146" s="41">
        <v>323</v>
      </c>
      <c r="H146" s="45">
        <f t="shared" ref="H146:H163" si="7">K146-G146+1</f>
        <v>2</v>
      </c>
      <c r="I146" s="47" t="s">
        <v>351</v>
      </c>
      <c r="J146" s="44"/>
      <c r="K146" s="41">
        <v>324</v>
      </c>
    </row>
    <row r="147" spans="1:12" s="41" customFormat="1">
      <c r="D147" s="51" t="s">
        <v>353</v>
      </c>
      <c r="E147" s="44"/>
      <c r="F147" s="44"/>
      <c r="G147" s="41">
        <f t="shared" ref="G147:G163" si="8">G146+2</f>
        <v>325</v>
      </c>
      <c r="H147" s="45">
        <f t="shared" si="7"/>
        <v>2</v>
      </c>
      <c r="I147" s="47" t="s">
        <v>351</v>
      </c>
      <c r="J147" s="44"/>
      <c r="K147" s="41">
        <f t="shared" ref="K147:K163" si="9">K146+2</f>
        <v>326</v>
      </c>
    </row>
    <row r="148" spans="1:12" s="41" customFormat="1">
      <c r="D148" s="51" t="s">
        <v>352</v>
      </c>
      <c r="E148" s="44"/>
      <c r="F148" s="44"/>
      <c r="G148" s="41">
        <f t="shared" si="8"/>
        <v>327</v>
      </c>
      <c r="H148" s="45">
        <f t="shared" si="7"/>
        <v>2</v>
      </c>
      <c r="I148" s="47" t="s">
        <v>351</v>
      </c>
      <c r="J148" s="44"/>
      <c r="K148" s="41">
        <f t="shared" si="9"/>
        <v>328</v>
      </c>
    </row>
    <row r="149" spans="1:12" s="41" customFormat="1">
      <c r="D149" s="51" t="s">
        <v>1260</v>
      </c>
      <c r="E149" s="44"/>
      <c r="F149" s="44"/>
      <c r="G149" s="41">
        <f t="shared" si="8"/>
        <v>329</v>
      </c>
      <c r="H149" s="45">
        <f t="shared" si="7"/>
        <v>2</v>
      </c>
      <c r="I149" s="47" t="s">
        <v>351</v>
      </c>
      <c r="J149" s="44"/>
      <c r="K149" s="41">
        <f t="shared" si="9"/>
        <v>330</v>
      </c>
    </row>
    <row r="150" spans="1:12" s="41" customFormat="1">
      <c r="D150" s="51" t="s">
        <v>1259</v>
      </c>
      <c r="E150" s="44"/>
      <c r="F150" s="44"/>
      <c r="G150" s="41">
        <f t="shared" si="8"/>
        <v>331</v>
      </c>
      <c r="H150" s="45">
        <f t="shared" si="7"/>
        <v>2</v>
      </c>
      <c r="I150" s="47" t="s">
        <v>351</v>
      </c>
      <c r="J150" s="44"/>
      <c r="K150" s="41">
        <f t="shared" si="9"/>
        <v>332</v>
      </c>
    </row>
    <row r="151" spans="1:12" s="41" customFormat="1">
      <c r="D151" s="51" t="s">
        <v>1258</v>
      </c>
      <c r="E151" s="44"/>
      <c r="F151" s="44"/>
      <c r="G151" s="41">
        <f t="shared" si="8"/>
        <v>333</v>
      </c>
      <c r="H151" s="45">
        <f t="shared" si="7"/>
        <v>2</v>
      </c>
      <c r="I151" s="47" t="s">
        <v>351</v>
      </c>
      <c r="J151" s="44"/>
      <c r="K151" s="41">
        <f t="shared" si="9"/>
        <v>334</v>
      </c>
    </row>
    <row r="152" spans="1:12" s="41" customFormat="1">
      <c r="D152" s="51" t="s">
        <v>1257</v>
      </c>
      <c r="E152" s="44"/>
      <c r="F152" s="44"/>
      <c r="G152" s="41">
        <f t="shared" si="8"/>
        <v>335</v>
      </c>
      <c r="H152" s="45">
        <f t="shared" si="7"/>
        <v>2</v>
      </c>
      <c r="I152" s="47" t="s">
        <v>351</v>
      </c>
      <c r="J152" s="44"/>
      <c r="K152" s="41">
        <f t="shared" si="9"/>
        <v>336</v>
      </c>
    </row>
    <row r="153" spans="1:12" s="41" customFormat="1">
      <c r="D153" s="51" t="s">
        <v>1256</v>
      </c>
      <c r="E153" s="44"/>
      <c r="F153" s="44"/>
      <c r="G153" s="41">
        <f t="shared" si="8"/>
        <v>337</v>
      </c>
      <c r="H153" s="45">
        <f t="shared" si="7"/>
        <v>2</v>
      </c>
      <c r="I153" s="47" t="s">
        <v>351</v>
      </c>
      <c r="J153" s="44"/>
      <c r="K153" s="41">
        <f t="shared" si="9"/>
        <v>338</v>
      </c>
    </row>
    <row r="154" spans="1:12" s="41" customFormat="1">
      <c r="D154" s="51" t="s">
        <v>1255</v>
      </c>
      <c r="E154" s="44"/>
      <c r="F154" s="44"/>
      <c r="G154" s="41">
        <f t="shared" si="8"/>
        <v>339</v>
      </c>
      <c r="H154" s="45">
        <f t="shared" si="7"/>
        <v>2</v>
      </c>
      <c r="I154" s="47" t="s">
        <v>351</v>
      </c>
      <c r="J154" s="44"/>
      <c r="K154" s="41">
        <f t="shared" si="9"/>
        <v>340</v>
      </c>
    </row>
    <row r="155" spans="1:12" s="41" customFormat="1">
      <c r="D155" s="51" t="s">
        <v>1254</v>
      </c>
      <c r="E155" s="44"/>
      <c r="F155" s="44"/>
      <c r="G155" s="41">
        <f t="shared" si="8"/>
        <v>341</v>
      </c>
      <c r="H155" s="45">
        <f t="shared" si="7"/>
        <v>2</v>
      </c>
      <c r="I155" s="47" t="s">
        <v>351</v>
      </c>
      <c r="J155" s="44"/>
      <c r="K155" s="41">
        <f t="shared" si="9"/>
        <v>342</v>
      </c>
    </row>
    <row r="156" spans="1:12" s="41" customFormat="1">
      <c r="D156" s="51" t="s">
        <v>1253</v>
      </c>
      <c r="E156" s="44"/>
      <c r="F156" s="44"/>
      <c r="G156" s="41">
        <f t="shared" si="8"/>
        <v>343</v>
      </c>
      <c r="H156" s="45">
        <f t="shared" si="7"/>
        <v>2</v>
      </c>
      <c r="I156" s="47" t="s">
        <v>351</v>
      </c>
      <c r="J156" s="44"/>
      <c r="K156" s="41">
        <f t="shared" si="9"/>
        <v>344</v>
      </c>
    </row>
    <row r="157" spans="1:12" s="41" customFormat="1">
      <c r="D157" s="51" t="s">
        <v>1252</v>
      </c>
      <c r="E157" s="44"/>
      <c r="F157" s="44"/>
      <c r="G157" s="41">
        <f t="shared" si="8"/>
        <v>345</v>
      </c>
      <c r="H157" s="45">
        <f t="shared" si="7"/>
        <v>2</v>
      </c>
      <c r="I157" s="47" t="s">
        <v>351</v>
      </c>
      <c r="J157" s="44"/>
      <c r="K157" s="41">
        <f t="shared" si="9"/>
        <v>346</v>
      </c>
    </row>
    <row r="158" spans="1:12" s="41" customFormat="1">
      <c r="D158" s="51" t="s">
        <v>1251</v>
      </c>
      <c r="E158" s="44"/>
      <c r="F158" s="44"/>
      <c r="G158" s="41">
        <f t="shared" si="8"/>
        <v>347</v>
      </c>
      <c r="H158" s="45">
        <f t="shared" si="7"/>
        <v>2</v>
      </c>
      <c r="I158" s="47" t="s">
        <v>351</v>
      </c>
      <c r="J158" s="44"/>
      <c r="K158" s="41">
        <f t="shared" si="9"/>
        <v>348</v>
      </c>
    </row>
    <row r="159" spans="1:12" s="41" customFormat="1">
      <c r="D159" s="51" t="s">
        <v>1250</v>
      </c>
      <c r="E159" s="44"/>
      <c r="F159" s="44"/>
      <c r="G159" s="41">
        <f t="shared" si="8"/>
        <v>349</v>
      </c>
      <c r="H159" s="45">
        <f t="shared" si="7"/>
        <v>2</v>
      </c>
      <c r="I159" s="47" t="s">
        <v>351</v>
      </c>
      <c r="J159" s="44"/>
      <c r="K159" s="41">
        <f t="shared" si="9"/>
        <v>350</v>
      </c>
    </row>
    <row r="160" spans="1:12" s="41" customFormat="1">
      <c r="D160" s="51" t="s">
        <v>1249</v>
      </c>
      <c r="E160" s="44"/>
      <c r="F160" s="44"/>
      <c r="G160" s="41">
        <f t="shared" si="8"/>
        <v>351</v>
      </c>
      <c r="H160" s="45">
        <f t="shared" si="7"/>
        <v>2</v>
      </c>
      <c r="I160" s="47" t="s">
        <v>351</v>
      </c>
      <c r="J160" s="44"/>
      <c r="K160" s="41">
        <f t="shared" si="9"/>
        <v>352</v>
      </c>
    </row>
    <row r="161" spans="1:12" s="41" customFormat="1">
      <c r="D161" s="51" t="s">
        <v>1248</v>
      </c>
      <c r="E161" s="44"/>
      <c r="F161" s="44"/>
      <c r="G161" s="41">
        <f t="shared" si="8"/>
        <v>353</v>
      </c>
      <c r="H161" s="45">
        <f t="shared" si="7"/>
        <v>2</v>
      </c>
      <c r="I161" s="47" t="s">
        <v>351</v>
      </c>
      <c r="J161" s="44"/>
      <c r="K161" s="41">
        <f t="shared" si="9"/>
        <v>354</v>
      </c>
    </row>
    <row r="162" spans="1:12" s="41" customFormat="1">
      <c r="D162" s="51" t="s">
        <v>1247</v>
      </c>
      <c r="E162" s="44"/>
      <c r="F162" s="44"/>
      <c r="G162" s="41">
        <f t="shared" si="8"/>
        <v>355</v>
      </c>
      <c r="H162" s="45">
        <f t="shared" si="7"/>
        <v>2</v>
      </c>
      <c r="I162" s="47" t="s">
        <v>351</v>
      </c>
      <c r="J162" s="44"/>
      <c r="K162" s="41">
        <f t="shared" si="9"/>
        <v>356</v>
      </c>
    </row>
    <row r="163" spans="1:12" s="41" customFormat="1">
      <c r="D163" s="51" t="s">
        <v>317</v>
      </c>
      <c r="E163" s="44"/>
      <c r="F163" s="44"/>
      <c r="G163" s="41">
        <f t="shared" si="8"/>
        <v>357</v>
      </c>
      <c r="H163" s="45">
        <f t="shared" si="7"/>
        <v>2</v>
      </c>
      <c r="I163" s="47" t="s">
        <v>351</v>
      </c>
      <c r="J163" s="44"/>
      <c r="K163" s="41">
        <f t="shared" si="9"/>
        <v>358</v>
      </c>
    </row>
    <row r="164" spans="1:12" s="41" customFormat="1">
      <c r="D164" s="51"/>
      <c r="E164" s="44"/>
      <c r="F164" s="44"/>
      <c r="H164" s="44"/>
      <c r="I164" s="44"/>
      <c r="J164" s="44"/>
    </row>
    <row r="165" spans="1:12" s="41" customFormat="1">
      <c r="A165" s="39"/>
      <c r="B165" s="42" t="s">
        <v>1309</v>
      </c>
      <c r="C165" s="42"/>
      <c r="D165" s="52"/>
      <c r="E165" s="45"/>
      <c r="F165" s="45"/>
      <c r="G165" s="42"/>
      <c r="H165" s="44"/>
      <c r="I165" s="45"/>
      <c r="J165" s="44"/>
      <c r="K165" s="42"/>
      <c r="L165" s="43"/>
    </row>
    <row r="166" spans="1:12" s="41" customFormat="1">
      <c r="D166" s="51" t="s">
        <v>1284</v>
      </c>
      <c r="E166" s="44"/>
      <c r="F166" s="44"/>
      <c r="G166" s="41">
        <v>392</v>
      </c>
      <c r="H166" s="45">
        <f>K166-G166+1</f>
        <v>1</v>
      </c>
      <c r="I166" s="47" t="s">
        <v>350</v>
      </c>
      <c r="J166" s="44"/>
      <c r="K166" s="41">
        <v>392</v>
      </c>
    </row>
    <row r="167" spans="1:12" s="41" customFormat="1">
      <c r="D167" s="51" t="s">
        <v>315</v>
      </c>
      <c r="E167" s="44"/>
      <c r="F167" s="44"/>
      <c r="G167" s="41">
        <v>393</v>
      </c>
      <c r="H167" s="45">
        <f>K167-G167+1</f>
        <v>1</v>
      </c>
      <c r="I167" s="47" t="s">
        <v>350</v>
      </c>
      <c r="J167" s="44"/>
      <c r="K167" s="41">
        <v>393</v>
      </c>
    </row>
    <row r="168" spans="1:12" s="41" customFormat="1">
      <c r="D168" s="51" t="s">
        <v>314</v>
      </c>
      <c r="E168" s="44"/>
      <c r="F168" s="44"/>
      <c r="G168" s="41">
        <v>394</v>
      </c>
      <c r="H168" s="45">
        <f>K168-G168+1</f>
        <v>1</v>
      </c>
      <c r="I168" s="47" t="s">
        <v>350</v>
      </c>
      <c r="J168" s="44"/>
      <c r="K168" s="41">
        <v>394</v>
      </c>
    </row>
    <row r="169" spans="1:12" s="41" customFormat="1">
      <c r="D169" s="51" t="s">
        <v>313</v>
      </c>
      <c r="E169" s="44"/>
      <c r="F169" s="44"/>
      <c r="G169" s="41">
        <v>395</v>
      </c>
      <c r="H169" s="45">
        <f>K169-G169+1</f>
        <v>1</v>
      </c>
      <c r="I169" s="47" t="s">
        <v>350</v>
      </c>
      <c r="J169" s="44"/>
      <c r="K169" s="41">
        <v>395</v>
      </c>
    </row>
    <row r="170" spans="1:12" s="41" customFormat="1">
      <c r="D170" s="51"/>
      <c r="E170" s="44"/>
      <c r="F170" s="44"/>
      <c r="H170" s="44"/>
      <c r="I170" s="44"/>
      <c r="J170" s="44"/>
    </row>
    <row r="171" spans="1:12" s="41" customFormat="1">
      <c r="A171" s="39"/>
      <c r="B171" s="42" t="s">
        <v>1310</v>
      </c>
      <c r="C171" s="42"/>
      <c r="D171" s="52"/>
      <c r="E171" s="45"/>
      <c r="F171" s="45"/>
      <c r="G171" s="42"/>
      <c r="H171" s="44"/>
      <c r="I171" s="45"/>
      <c r="J171" s="44"/>
      <c r="K171" s="42"/>
      <c r="L171" s="43"/>
    </row>
    <row r="172" spans="1:12" s="41" customFormat="1">
      <c r="D172" s="51" t="s">
        <v>1285</v>
      </c>
      <c r="E172" s="44"/>
      <c r="F172" s="44"/>
      <c r="G172" s="41">
        <v>396</v>
      </c>
      <c r="H172" s="45">
        <f>K172-G172+1</f>
        <v>1</v>
      </c>
      <c r="I172" s="47" t="s">
        <v>350</v>
      </c>
      <c r="J172" s="44"/>
      <c r="K172" s="41">
        <v>396</v>
      </c>
    </row>
    <row r="173" spans="1:12" s="41" customFormat="1">
      <c r="D173" s="51" t="s">
        <v>315</v>
      </c>
      <c r="E173" s="44"/>
      <c r="F173" s="44"/>
      <c r="G173" s="41">
        <f t="shared" ref="G173:G175" si="10">G172+1</f>
        <v>397</v>
      </c>
      <c r="H173" s="45">
        <f>K173-G173+1</f>
        <v>1</v>
      </c>
      <c r="I173" s="47" t="s">
        <v>350</v>
      </c>
      <c r="J173" s="44"/>
      <c r="K173" s="41">
        <f>K172+1</f>
        <v>397</v>
      </c>
    </row>
    <row r="174" spans="1:12" s="41" customFormat="1">
      <c r="D174" s="51" t="s">
        <v>314</v>
      </c>
      <c r="E174" s="44"/>
      <c r="F174" s="44"/>
      <c r="G174" s="41">
        <f t="shared" si="10"/>
        <v>398</v>
      </c>
      <c r="H174" s="45">
        <f>K174-G174+1</f>
        <v>1</v>
      </c>
      <c r="I174" s="47" t="s">
        <v>350</v>
      </c>
      <c r="J174" s="44"/>
      <c r="K174" s="41">
        <f>K173+1</f>
        <v>398</v>
      </c>
    </row>
    <row r="175" spans="1:12" s="41" customFormat="1">
      <c r="D175" s="51" t="s">
        <v>313</v>
      </c>
      <c r="E175" s="44"/>
      <c r="F175" s="44"/>
      <c r="G175" s="41">
        <f t="shared" si="10"/>
        <v>399</v>
      </c>
      <c r="H175" s="45">
        <f>K175-G175+1</f>
        <v>1</v>
      </c>
      <c r="I175" s="47" t="s">
        <v>350</v>
      </c>
      <c r="J175" s="44"/>
      <c r="K175" s="41">
        <f>K174+1</f>
        <v>399</v>
      </c>
    </row>
    <row r="176" spans="1:12" s="41" customFormat="1">
      <c r="D176" s="51"/>
      <c r="E176" s="44"/>
      <c r="F176" s="44"/>
      <c r="H176" s="44"/>
      <c r="I176" s="44"/>
      <c r="J176" s="44"/>
    </row>
    <row r="177" spans="1:12" s="43" customFormat="1">
      <c r="A177" s="42"/>
      <c r="B177" s="42" t="s">
        <v>1311</v>
      </c>
      <c r="C177" s="42"/>
      <c r="D177" s="54"/>
      <c r="E177" s="46"/>
      <c r="F177" s="46"/>
      <c r="G177" s="42"/>
      <c r="H177" s="45"/>
      <c r="I177" s="46"/>
      <c r="J177" s="49"/>
      <c r="K177" s="42"/>
      <c r="L177" s="42"/>
    </row>
    <row r="178" spans="1:12" s="41" customFormat="1">
      <c r="D178" s="51" t="s">
        <v>319</v>
      </c>
      <c r="E178" s="44"/>
      <c r="F178" s="44"/>
      <c r="G178" s="41">
        <v>401</v>
      </c>
      <c r="H178" s="45">
        <f t="shared" ref="H178:H209" si="11">K178-G178+1</f>
        <v>2</v>
      </c>
      <c r="I178" s="47" t="s">
        <v>351</v>
      </c>
      <c r="J178" s="48" t="s">
        <v>10</v>
      </c>
      <c r="K178" s="41">
        <v>402</v>
      </c>
    </row>
    <row r="179" spans="1:12" s="41" customFormat="1">
      <c r="D179" s="51" t="s">
        <v>1244</v>
      </c>
      <c r="E179" s="44"/>
      <c r="F179" s="44"/>
      <c r="G179" s="41">
        <f t="shared" ref="G179:G210" si="12">G178+2</f>
        <v>403</v>
      </c>
      <c r="H179" s="45">
        <f t="shared" si="11"/>
        <v>2</v>
      </c>
      <c r="I179" s="47" t="s">
        <v>351</v>
      </c>
      <c r="J179" s="48" t="s">
        <v>10</v>
      </c>
      <c r="K179" s="41">
        <f t="shared" ref="K179:K210" si="13">K178 + 2</f>
        <v>404</v>
      </c>
    </row>
    <row r="180" spans="1:12" s="41" customFormat="1">
      <c r="D180" s="51" t="s">
        <v>1243</v>
      </c>
      <c r="E180" s="44"/>
      <c r="F180" s="44"/>
      <c r="G180" s="41">
        <f t="shared" si="12"/>
        <v>405</v>
      </c>
      <c r="H180" s="45">
        <f t="shared" si="11"/>
        <v>2</v>
      </c>
      <c r="I180" s="47" t="s">
        <v>351</v>
      </c>
      <c r="J180" s="48" t="s">
        <v>10</v>
      </c>
      <c r="K180" s="41">
        <f t="shared" si="13"/>
        <v>406</v>
      </c>
    </row>
    <row r="181" spans="1:12" s="41" customFormat="1">
      <c r="D181" s="51" t="s">
        <v>397</v>
      </c>
      <c r="E181" s="44"/>
      <c r="F181" s="44"/>
      <c r="G181" s="41">
        <f t="shared" si="12"/>
        <v>407</v>
      </c>
      <c r="H181" s="45">
        <f t="shared" si="11"/>
        <v>2</v>
      </c>
      <c r="I181" s="47" t="s">
        <v>351</v>
      </c>
      <c r="J181" s="48" t="s">
        <v>10</v>
      </c>
      <c r="K181" s="41">
        <f t="shared" si="13"/>
        <v>408</v>
      </c>
    </row>
    <row r="182" spans="1:12" s="41" customFormat="1">
      <c r="D182" s="51" t="s">
        <v>396</v>
      </c>
      <c r="E182" s="44"/>
      <c r="F182" s="44"/>
      <c r="G182" s="41">
        <f t="shared" si="12"/>
        <v>409</v>
      </c>
      <c r="H182" s="45">
        <f t="shared" si="11"/>
        <v>2</v>
      </c>
      <c r="I182" s="47" t="s">
        <v>351</v>
      </c>
      <c r="J182" s="48" t="s">
        <v>10</v>
      </c>
      <c r="K182" s="41">
        <f t="shared" si="13"/>
        <v>410</v>
      </c>
    </row>
    <row r="183" spans="1:12" s="41" customFormat="1">
      <c r="D183" s="51" t="s">
        <v>395</v>
      </c>
      <c r="E183" s="44"/>
      <c r="F183" s="44"/>
      <c r="G183" s="41">
        <f t="shared" si="12"/>
        <v>411</v>
      </c>
      <c r="H183" s="45">
        <f t="shared" si="11"/>
        <v>2</v>
      </c>
      <c r="I183" s="47" t="s">
        <v>351</v>
      </c>
      <c r="J183" s="48" t="s">
        <v>10</v>
      </c>
      <c r="K183" s="41">
        <f t="shared" si="13"/>
        <v>412</v>
      </c>
    </row>
    <row r="184" spans="1:12" s="41" customFormat="1">
      <c r="D184" s="51" t="s">
        <v>394</v>
      </c>
      <c r="E184" s="44"/>
      <c r="F184" s="44"/>
      <c r="G184" s="41">
        <f t="shared" si="12"/>
        <v>413</v>
      </c>
      <c r="H184" s="45">
        <f t="shared" si="11"/>
        <v>2</v>
      </c>
      <c r="I184" s="47" t="s">
        <v>351</v>
      </c>
      <c r="J184" s="48" t="s">
        <v>33</v>
      </c>
      <c r="K184" s="41">
        <f t="shared" si="13"/>
        <v>414</v>
      </c>
    </row>
    <row r="185" spans="1:12" s="41" customFormat="1">
      <c r="D185" s="51" t="s">
        <v>393</v>
      </c>
      <c r="E185" s="44"/>
      <c r="F185" s="44"/>
      <c r="G185" s="41">
        <f t="shared" si="12"/>
        <v>415</v>
      </c>
      <c r="H185" s="45">
        <f t="shared" si="11"/>
        <v>2</v>
      </c>
      <c r="I185" s="47" t="s">
        <v>351</v>
      </c>
      <c r="J185" s="48" t="s">
        <v>33</v>
      </c>
      <c r="K185" s="41">
        <f t="shared" si="13"/>
        <v>416</v>
      </c>
    </row>
    <row r="186" spans="1:12" s="41" customFormat="1">
      <c r="D186" s="51" t="s">
        <v>392</v>
      </c>
      <c r="E186" s="44"/>
      <c r="F186" s="44"/>
      <c r="G186" s="41">
        <f t="shared" si="12"/>
        <v>417</v>
      </c>
      <c r="H186" s="45">
        <f t="shared" si="11"/>
        <v>2</v>
      </c>
      <c r="I186" s="47" t="s">
        <v>351</v>
      </c>
      <c r="J186" s="48" t="s">
        <v>33</v>
      </c>
      <c r="K186" s="41">
        <f t="shared" si="13"/>
        <v>418</v>
      </c>
    </row>
    <row r="187" spans="1:12" s="41" customFormat="1">
      <c r="D187" s="51" t="s">
        <v>1242</v>
      </c>
      <c r="E187" s="44"/>
      <c r="F187" s="44"/>
      <c r="G187" s="41">
        <f t="shared" si="12"/>
        <v>419</v>
      </c>
      <c r="H187" s="45">
        <f t="shared" si="11"/>
        <v>2</v>
      </c>
      <c r="I187" s="47" t="s">
        <v>351</v>
      </c>
      <c r="J187" s="48" t="s">
        <v>10</v>
      </c>
      <c r="K187" s="41">
        <f t="shared" si="13"/>
        <v>420</v>
      </c>
    </row>
    <row r="188" spans="1:12" s="41" customFormat="1">
      <c r="D188" s="51" t="s">
        <v>1241</v>
      </c>
      <c r="E188" s="44"/>
      <c r="F188" s="44"/>
      <c r="G188" s="41">
        <f t="shared" si="12"/>
        <v>421</v>
      </c>
      <c r="H188" s="45">
        <f t="shared" si="11"/>
        <v>2</v>
      </c>
      <c r="I188" s="47" t="s">
        <v>351</v>
      </c>
      <c r="J188" s="48" t="s">
        <v>10</v>
      </c>
      <c r="K188" s="41">
        <f t="shared" si="13"/>
        <v>422</v>
      </c>
    </row>
    <row r="189" spans="1:12" s="41" customFormat="1">
      <c r="D189" s="51" t="s">
        <v>1240</v>
      </c>
      <c r="E189" s="44"/>
      <c r="F189" s="44"/>
      <c r="G189" s="41">
        <f t="shared" si="12"/>
        <v>423</v>
      </c>
      <c r="H189" s="45">
        <f t="shared" si="11"/>
        <v>2</v>
      </c>
      <c r="I189" s="47" t="s">
        <v>351</v>
      </c>
      <c r="J189" s="48" t="s">
        <v>33</v>
      </c>
      <c r="K189" s="41">
        <f t="shared" si="13"/>
        <v>424</v>
      </c>
    </row>
    <row r="190" spans="1:12" s="41" customFormat="1">
      <c r="D190" s="51" t="s">
        <v>1239</v>
      </c>
      <c r="E190" s="44"/>
      <c r="F190" s="44"/>
      <c r="G190" s="41">
        <f t="shared" si="12"/>
        <v>425</v>
      </c>
      <c r="H190" s="45">
        <f t="shared" si="11"/>
        <v>2</v>
      </c>
      <c r="I190" s="47" t="s">
        <v>351</v>
      </c>
      <c r="J190" s="48" t="s">
        <v>33</v>
      </c>
      <c r="K190" s="41">
        <f t="shared" si="13"/>
        <v>426</v>
      </c>
    </row>
    <row r="191" spans="1:12" s="41" customFormat="1">
      <c r="D191" s="51" t="s">
        <v>388</v>
      </c>
      <c r="E191" s="44"/>
      <c r="F191" s="44"/>
      <c r="G191" s="41">
        <f t="shared" si="12"/>
        <v>427</v>
      </c>
      <c r="H191" s="45">
        <f t="shared" si="11"/>
        <v>2</v>
      </c>
      <c r="I191" s="47" t="s">
        <v>351</v>
      </c>
      <c r="J191" s="48" t="s">
        <v>18</v>
      </c>
      <c r="K191" s="41">
        <f t="shared" si="13"/>
        <v>428</v>
      </c>
    </row>
    <row r="192" spans="1:12" s="41" customFormat="1">
      <c r="D192" s="51" t="s">
        <v>387</v>
      </c>
      <c r="E192" s="44"/>
      <c r="F192" s="44"/>
      <c r="G192" s="41">
        <f t="shared" si="12"/>
        <v>429</v>
      </c>
      <c r="H192" s="45">
        <f t="shared" si="11"/>
        <v>2</v>
      </c>
      <c r="I192" s="47" t="s">
        <v>351</v>
      </c>
      <c r="J192" s="48" t="s">
        <v>18</v>
      </c>
      <c r="K192" s="41">
        <f t="shared" si="13"/>
        <v>430</v>
      </c>
    </row>
    <row r="193" spans="4:11" s="41" customFormat="1">
      <c r="D193" s="51" t="s">
        <v>386</v>
      </c>
      <c r="E193" s="44"/>
      <c r="F193" s="44"/>
      <c r="G193" s="41">
        <f t="shared" si="12"/>
        <v>431</v>
      </c>
      <c r="H193" s="45">
        <f t="shared" si="11"/>
        <v>2</v>
      </c>
      <c r="I193" s="47" t="s">
        <v>351</v>
      </c>
      <c r="J193" s="48" t="s">
        <v>18</v>
      </c>
      <c r="K193" s="41">
        <f t="shared" si="13"/>
        <v>432</v>
      </c>
    </row>
    <row r="194" spans="4:11" s="41" customFormat="1">
      <c r="D194" s="51" t="s">
        <v>1238</v>
      </c>
      <c r="E194" s="44"/>
      <c r="F194" s="44"/>
      <c r="G194" s="41">
        <f t="shared" si="12"/>
        <v>433</v>
      </c>
      <c r="H194" s="45">
        <f t="shared" si="11"/>
        <v>2</v>
      </c>
      <c r="I194" s="47" t="s">
        <v>351</v>
      </c>
      <c r="J194" s="48" t="s">
        <v>18</v>
      </c>
      <c r="K194" s="41">
        <f t="shared" si="13"/>
        <v>434</v>
      </c>
    </row>
    <row r="195" spans="4:11" s="41" customFormat="1">
      <c r="D195" s="51" t="s">
        <v>385</v>
      </c>
      <c r="E195" s="44"/>
      <c r="F195" s="44"/>
      <c r="G195" s="41">
        <f t="shared" si="12"/>
        <v>435</v>
      </c>
      <c r="H195" s="45">
        <f t="shared" si="11"/>
        <v>2</v>
      </c>
      <c r="I195" s="47" t="s">
        <v>351</v>
      </c>
      <c r="J195" s="48" t="s">
        <v>312</v>
      </c>
      <c r="K195" s="41">
        <f t="shared" si="13"/>
        <v>436</v>
      </c>
    </row>
    <row r="196" spans="4:11" s="41" customFormat="1">
      <c r="D196" s="51" t="s">
        <v>384</v>
      </c>
      <c r="E196" s="44"/>
      <c r="F196" s="44"/>
      <c r="G196" s="41">
        <f t="shared" si="12"/>
        <v>437</v>
      </c>
      <c r="H196" s="45">
        <f t="shared" si="11"/>
        <v>2</v>
      </c>
      <c r="I196" s="47" t="s">
        <v>351</v>
      </c>
      <c r="J196" s="48" t="s">
        <v>312</v>
      </c>
      <c r="K196" s="41">
        <f t="shared" si="13"/>
        <v>438</v>
      </c>
    </row>
    <row r="197" spans="4:11" s="41" customFormat="1">
      <c r="D197" s="51" t="s">
        <v>383</v>
      </c>
      <c r="E197" s="44"/>
      <c r="F197" s="44"/>
      <c r="G197" s="41">
        <f t="shared" si="12"/>
        <v>439</v>
      </c>
      <c r="H197" s="45">
        <f t="shared" si="11"/>
        <v>2</v>
      </c>
      <c r="I197" s="47" t="s">
        <v>351</v>
      </c>
      <c r="J197" s="48" t="s">
        <v>312</v>
      </c>
      <c r="K197" s="41">
        <f t="shared" si="13"/>
        <v>440</v>
      </c>
    </row>
    <row r="198" spans="4:11" s="41" customFormat="1">
      <c r="D198" s="51" t="s">
        <v>1246</v>
      </c>
      <c r="E198" s="44"/>
      <c r="F198" s="44"/>
      <c r="G198" s="41">
        <f t="shared" si="12"/>
        <v>441</v>
      </c>
      <c r="H198" s="45">
        <f t="shared" si="11"/>
        <v>2</v>
      </c>
      <c r="I198" s="47" t="s">
        <v>351</v>
      </c>
      <c r="J198" s="48" t="s">
        <v>312</v>
      </c>
      <c r="K198" s="41">
        <f t="shared" si="13"/>
        <v>442</v>
      </c>
    </row>
    <row r="199" spans="4:11" s="41" customFormat="1">
      <c r="D199" s="51" t="s">
        <v>391</v>
      </c>
      <c r="E199" s="44"/>
      <c r="F199" s="44"/>
      <c r="G199" s="41">
        <f t="shared" si="12"/>
        <v>443</v>
      </c>
      <c r="H199" s="45">
        <f t="shared" si="11"/>
        <v>2</v>
      </c>
      <c r="I199" s="47" t="s">
        <v>351</v>
      </c>
      <c r="J199" s="48" t="s">
        <v>21</v>
      </c>
      <c r="K199" s="41">
        <f t="shared" si="13"/>
        <v>444</v>
      </c>
    </row>
    <row r="200" spans="4:11" s="41" customFormat="1">
      <c r="D200" s="51" t="s">
        <v>390</v>
      </c>
      <c r="E200" s="44"/>
      <c r="F200" s="44"/>
      <c r="G200" s="41">
        <f t="shared" si="12"/>
        <v>445</v>
      </c>
      <c r="H200" s="45">
        <f t="shared" si="11"/>
        <v>2</v>
      </c>
      <c r="I200" s="47" t="s">
        <v>351</v>
      </c>
      <c r="J200" s="48" t="s">
        <v>21</v>
      </c>
      <c r="K200" s="41">
        <f t="shared" si="13"/>
        <v>446</v>
      </c>
    </row>
    <row r="201" spans="4:11" s="41" customFormat="1">
      <c r="D201" s="51" t="s">
        <v>389</v>
      </c>
      <c r="E201" s="44"/>
      <c r="F201" s="44"/>
      <c r="G201" s="41">
        <f t="shared" si="12"/>
        <v>447</v>
      </c>
      <c r="H201" s="45">
        <f t="shared" si="11"/>
        <v>2</v>
      </c>
      <c r="I201" s="47" t="s">
        <v>351</v>
      </c>
      <c r="J201" s="48" t="s">
        <v>21</v>
      </c>
      <c r="K201" s="41">
        <f t="shared" si="13"/>
        <v>448</v>
      </c>
    </row>
    <row r="202" spans="4:11" s="41" customFormat="1">
      <c r="D202" s="51" t="s">
        <v>1236</v>
      </c>
      <c r="E202" s="44"/>
      <c r="F202" s="44"/>
      <c r="G202" s="41">
        <f t="shared" si="12"/>
        <v>449</v>
      </c>
      <c r="H202" s="45">
        <f t="shared" si="11"/>
        <v>2</v>
      </c>
      <c r="I202" s="47" t="s">
        <v>351</v>
      </c>
      <c r="J202" s="48" t="s">
        <v>21</v>
      </c>
      <c r="K202" s="41">
        <f t="shared" si="13"/>
        <v>450</v>
      </c>
    </row>
    <row r="203" spans="4:11" s="41" customFormat="1">
      <c r="D203" s="51" t="s">
        <v>376</v>
      </c>
      <c r="E203" s="44"/>
      <c r="F203" s="44"/>
      <c r="G203" s="41">
        <f t="shared" si="12"/>
        <v>451</v>
      </c>
      <c r="H203" s="45">
        <f t="shared" si="11"/>
        <v>2</v>
      </c>
      <c r="I203" s="47" t="s">
        <v>351</v>
      </c>
      <c r="J203" s="48" t="s">
        <v>303</v>
      </c>
      <c r="K203" s="41">
        <f t="shared" si="13"/>
        <v>452</v>
      </c>
    </row>
    <row r="204" spans="4:11" s="41" customFormat="1">
      <c r="D204" s="51" t="s">
        <v>375</v>
      </c>
      <c r="E204" s="44"/>
      <c r="F204" s="44"/>
      <c r="G204" s="41">
        <f t="shared" si="12"/>
        <v>453</v>
      </c>
      <c r="H204" s="45">
        <f t="shared" si="11"/>
        <v>2</v>
      </c>
      <c r="I204" s="47" t="s">
        <v>351</v>
      </c>
      <c r="J204" s="48" t="s">
        <v>303</v>
      </c>
      <c r="K204" s="41">
        <f t="shared" si="13"/>
        <v>454</v>
      </c>
    </row>
    <row r="205" spans="4:11" s="41" customFormat="1">
      <c r="D205" s="51" t="s">
        <v>374</v>
      </c>
      <c r="E205" s="44"/>
      <c r="F205" s="44"/>
      <c r="G205" s="41">
        <f t="shared" si="12"/>
        <v>455</v>
      </c>
      <c r="H205" s="45">
        <f t="shared" si="11"/>
        <v>2</v>
      </c>
      <c r="I205" s="47" t="s">
        <v>351</v>
      </c>
      <c r="J205" s="48" t="s">
        <v>303</v>
      </c>
      <c r="K205" s="41">
        <f t="shared" si="13"/>
        <v>456</v>
      </c>
    </row>
    <row r="206" spans="4:11" s="41" customFormat="1">
      <c r="D206" s="51" t="s">
        <v>373</v>
      </c>
      <c r="E206" s="44"/>
      <c r="F206" s="44"/>
      <c r="G206" s="41">
        <f t="shared" si="12"/>
        <v>457</v>
      </c>
      <c r="H206" s="45">
        <f t="shared" si="11"/>
        <v>2</v>
      </c>
      <c r="I206" s="47" t="s">
        <v>351</v>
      </c>
      <c r="J206" s="48" t="s">
        <v>303</v>
      </c>
      <c r="K206" s="41">
        <f t="shared" si="13"/>
        <v>458</v>
      </c>
    </row>
    <row r="207" spans="4:11" s="41" customFormat="1">
      <c r="D207" s="51" t="s">
        <v>379</v>
      </c>
      <c r="E207" s="44"/>
      <c r="F207" s="44"/>
      <c r="G207" s="41">
        <f t="shared" si="12"/>
        <v>459</v>
      </c>
      <c r="H207" s="45">
        <f t="shared" si="11"/>
        <v>2</v>
      </c>
      <c r="I207" s="47" t="s">
        <v>351</v>
      </c>
      <c r="J207" s="48" t="s">
        <v>303</v>
      </c>
      <c r="K207" s="41">
        <f t="shared" si="13"/>
        <v>460</v>
      </c>
    </row>
    <row r="208" spans="4:11" s="41" customFormat="1">
      <c r="D208" s="51" t="s">
        <v>378</v>
      </c>
      <c r="E208" s="44"/>
      <c r="F208" s="44"/>
      <c r="G208" s="41">
        <f t="shared" si="12"/>
        <v>461</v>
      </c>
      <c r="H208" s="45">
        <f t="shared" si="11"/>
        <v>2</v>
      </c>
      <c r="I208" s="47" t="s">
        <v>351</v>
      </c>
      <c r="J208" s="48" t="s">
        <v>303</v>
      </c>
      <c r="K208" s="41">
        <f t="shared" si="13"/>
        <v>462</v>
      </c>
    </row>
    <row r="209" spans="4:11" s="41" customFormat="1">
      <c r="D209" s="51" t="s">
        <v>377</v>
      </c>
      <c r="E209" s="44"/>
      <c r="F209" s="44"/>
      <c r="G209" s="41">
        <f t="shared" si="12"/>
        <v>463</v>
      </c>
      <c r="H209" s="45">
        <f t="shared" si="11"/>
        <v>2</v>
      </c>
      <c r="I209" s="47" t="s">
        <v>351</v>
      </c>
      <c r="J209" s="48" t="s">
        <v>303</v>
      </c>
      <c r="K209" s="41">
        <f t="shared" si="13"/>
        <v>464</v>
      </c>
    </row>
    <row r="210" spans="4:11" s="41" customFormat="1">
      <c r="D210" s="51" t="s">
        <v>1235</v>
      </c>
      <c r="E210" s="44"/>
      <c r="F210" s="44"/>
      <c r="G210" s="41">
        <f t="shared" si="12"/>
        <v>465</v>
      </c>
      <c r="H210" s="45">
        <f t="shared" ref="H210:H232" si="14">K210-G210+1</f>
        <v>2</v>
      </c>
      <c r="I210" s="47" t="s">
        <v>351</v>
      </c>
      <c r="J210" s="48" t="s">
        <v>303</v>
      </c>
      <c r="K210" s="41">
        <f t="shared" si="13"/>
        <v>466</v>
      </c>
    </row>
    <row r="211" spans="4:11" s="41" customFormat="1">
      <c r="D211" s="51" t="s">
        <v>364</v>
      </c>
      <c r="E211" s="44"/>
      <c r="F211" s="44"/>
      <c r="G211" s="41">
        <f t="shared" ref="G211:G231" si="15">G210+2</f>
        <v>467</v>
      </c>
      <c r="H211" s="45">
        <f t="shared" si="14"/>
        <v>2</v>
      </c>
      <c r="I211" s="47" t="s">
        <v>351</v>
      </c>
      <c r="J211" s="48" t="s">
        <v>1290</v>
      </c>
      <c r="K211" s="41">
        <f t="shared" ref="K211:K232" si="16">K210 + 2</f>
        <v>468</v>
      </c>
    </row>
    <row r="212" spans="4:11" s="41" customFormat="1">
      <c r="D212" s="51" t="s">
        <v>363</v>
      </c>
      <c r="E212" s="44"/>
      <c r="F212" s="44"/>
      <c r="G212" s="41">
        <f t="shared" si="15"/>
        <v>469</v>
      </c>
      <c r="H212" s="45">
        <f t="shared" si="14"/>
        <v>2</v>
      </c>
      <c r="I212" s="47" t="s">
        <v>351</v>
      </c>
      <c r="J212" s="48" t="s">
        <v>1290</v>
      </c>
      <c r="K212" s="41">
        <f t="shared" si="16"/>
        <v>470</v>
      </c>
    </row>
    <row r="213" spans="4:11" s="41" customFormat="1">
      <c r="D213" s="51" t="s">
        <v>362</v>
      </c>
      <c r="E213" s="44"/>
      <c r="F213" s="44"/>
      <c r="G213" s="41">
        <f t="shared" si="15"/>
        <v>471</v>
      </c>
      <c r="H213" s="45">
        <f t="shared" si="14"/>
        <v>2</v>
      </c>
      <c r="I213" s="47" t="s">
        <v>351</v>
      </c>
      <c r="J213" s="48" t="s">
        <v>1290</v>
      </c>
      <c r="K213" s="41">
        <f t="shared" si="16"/>
        <v>472</v>
      </c>
    </row>
    <row r="214" spans="4:11" s="41" customFormat="1">
      <c r="D214" s="51" t="s">
        <v>361</v>
      </c>
      <c r="E214" s="44"/>
      <c r="F214" s="44"/>
      <c r="G214" s="41">
        <f t="shared" si="15"/>
        <v>473</v>
      </c>
      <c r="H214" s="45">
        <f t="shared" si="14"/>
        <v>2</v>
      </c>
      <c r="I214" s="47" t="s">
        <v>351</v>
      </c>
      <c r="J214" s="48" t="s">
        <v>1290</v>
      </c>
      <c r="K214" s="41">
        <f t="shared" si="16"/>
        <v>474</v>
      </c>
    </row>
    <row r="215" spans="4:11" s="41" customFormat="1">
      <c r="D215" s="51" t="s">
        <v>1234</v>
      </c>
      <c r="E215" s="44"/>
      <c r="F215" s="44"/>
      <c r="G215" s="41">
        <f t="shared" si="15"/>
        <v>475</v>
      </c>
      <c r="H215" s="45">
        <f t="shared" si="14"/>
        <v>2</v>
      </c>
      <c r="I215" s="47" t="s">
        <v>351</v>
      </c>
      <c r="J215" s="48" t="s">
        <v>11</v>
      </c>
      <c r="K215" s="41">
        <f t="shared" si="16"/>
        <v>476</v>
      </c>
    </row>
    <row r="216" spans="4:11" s="41" customFormat="1">
      <c r="D216" s="51" t="s">
        <v>360</v>
      </c>
      <c r="E216" s="44"/>
      <c r="F216" s="44"/>
      <c r="G216" s="41">
        <f t="shared" si="15"/>
        <v>477</v>
      </c>
      <c r="H216" s="45">
        <f t="shared" si="14"/>
        <v>2</v>
      </c>
      <c r="I216" s="47" t="s">
        <v>351</v>
      </c>
      <c r="J216" s="48" t="s">
        <v>358</v>
      </c>
      <c r="K216" s="41">
        <f t="shared" si="16"/>
        <v>478</v>
      </c>
    </row>
    <row r="217" spans="4:11" s="41" customFormat="1">
      <c r="D217" s="51" t="s">
        <v>359</v>
      </c>
      <c r="E217" s="44"/>
      <c r="F217" s="44"/>
      <c r="G217" s="41">
        <f t="shared" si="15"/>
        <v>479</v>
      </c>
      <c r="H217" s="45">
        <f t="shared" si="14"/>
        <v>2</v>
      </c>
      <c r="I217" s="47" t="s">
        <v>351</v>
      </c>
      <c r="J217" s="48" t="s">
        <v>358</v>
      </c>
      <c r="K217" s="41">
        <f t="shared" si="16"/>
        <v>480</v>
      </c>
    </row>
    <row r="218" spans="4:11" s="41" customFormat="1">
      <c r="D218" s="51" t="s">
        <v>1245</v>
      </c>
      <c r="E218" s="44"/>
      <c r="F218" s="44"/>
      <c r="G218" s="41">
        <f t="shared" si="15"/>
        <v>481</v>
      </c>
      <c r="H218" s="45">
        <f t="shared" si="14"/>
        <v>2</v>
      </c>
      <c r="I218" s="47" t="s">
        <v>351</v>
      </c>
      <c r="J218" s="48" t="s">
        <v>11</v>
      </c>
      <c r="K218" s="41">
        <f t="shared" si="16"/>
        <v>482</v>
      </c>
    </row>
    <row r="219" spans="4:11" s="41" customFormat="1">
      <c r="D219" s="51" t="s">
        <v>357</v>
      </c>
      <c r="E219" s="44"/>
      <c r="F219" s="44"/>
      <c r="G219" s="41">
        <f t="shared" si="15"/>
        <v>483</v>
      </c>
      <c r="H219" s="45">
        <f t="shared" si="14"/>
        <v>2</v>
      </c>
      <c r="I219" s="47" t="s">
        <v>351</v>
      </c>
      <c r="J219" s="48" t="s">
        <v>303</v>
      </c>
      <c r="K219" s="41">
        <f t="shared" si="16"/>
        <v>484</v>
      </c>
    </row>
    <row r="220" spans="4:11" s="41" customFormat="1">
      <c r="D220" s="51" t="s">
        <v>356</v>
      </c>
      <c r="E220" s="44"/>
      <c r="F220" s="44"/>
      <c r="G220" s="41">
        <f t="shared" si="15"/>
        <v>485</v>
      </c>
      <c r="H220" s="45">
        <f t="shared" si="14"/>
        <v>2</v>
      </c>
      <c r="I220" s="47" t="s">
        <v>351</v>
      </c>
      <c r="J220" s="48" t="s">
        <v>303</v>
      </c>
      <c r="K220" s="41">
        <f t="shared" si="16"/>
        <v>486</v>
      </c>
    </row>
    <row r="221" spans="4:11" s="41" customFormat="1">
      <c r="D221" s="51" t="s">
        <v>355</v>
      </c>
      <c r="E221" s="44"/>
      <c r="F221" s="44"/>
      <c r="G221" s="41">
        <f t="shared" si="15"/>
        <v>487</v>
      </c>
      <c r="H221" s="45">
        <f t="shared" si="14"/>
        <v>2</v>
      </c>
      <c r="I221" s="47" t="s">
        <v>351</v>
      </c>
      <c r="J221" s="48" t="s">
        <v>303</v>
      </c>
      <c r="K221" s="41">
        <f t="shared" si="16"/>
        <v>488</v>
      </c>
    </row>
    <row r="222" spans="4:11" s="41" customFormat="1">
      <c r="D222" s="51" t="s">
        <v>371</v>
      </c>
      <c r="E222" s="44"/>
      <c r="F222" s="44"/>
      <c r="G222" s="41">
        <f t="shared" si="15"/>
        <v>489</v>
      </c>
      <c r="H222" s="45">
        <f t="shared" si="14"/>
        <v>2</v>
      </c>
      <c r="I222" s="47" t="s">
        <v>351</v>
      </c>
      <c r="J222" s="48" t="s">
        <v>303</v>
      </c>
      <c r="K222" s="41">
        <f t="shared" si="16"/>
        <v>490</v>
      </c>
    </row>
    <row r="223" spans="4:11" s="41" customFormat="1">
      <c r="D223" s="51" t="s">
        <v>370</v>
      </c>
      <c r="E223" s="44"/>
      <c r="F223" s="44"/>
      <c r="G223" s="41">
        <f t="shared" si="15"/>
        <v>491</v>
      </c>
      <c r="H223" s="45">
        <f t="shared" si="14"/>
        <v>2</v>
      </c>
      <c r="I223" s="47" t="s">
        <v>351</v>
      </c>
      <c r="J223" s="48" t="s">
        <v>303</v>
      </c>
      <c r="K223" s="41">
        <f t="shared" si="16"/>
        <v>492</v>
      </c>
    </row>
    <row r="224" spans="4:11" s="41" customFormat="1">
      <c r="D224" s="51" t="s">
        <v>369</v>
      </c>
      <c r="E224" s="44"/>
      <c r="F224" s="44"/>
      <c r="G224" s="41">
        <f t="shared" si="15"/>
        <v>493</v>
      </c>
      <c r="H224" s="45">
        <f t="shared" si="14"/>
        <v>2</v>
      </c>
      <c r="I224" s="47" t="s">
        <v>351</v>
      </c>
      <c r="J224" s="48" t="s">
        <v>303</v>
      </c>
      <c r="K224" s="41">
        <f t="shared" si="16"/>
        <v>494</v>
      </c>
    </row>
    <row r="225" spans="1:12" s="41" customFormat="1">
      <c r="D225" s="51" t="s">
        <v>368</v>
      </c>
      <c r="E225" s="44"/>
      <c r="F225" s="44"/>
      <c r="G225" s="41">
        <f t="shared" si="15"/>
        <v>495</v>
      </c>
      <c r="H225" s="45">
        <f t="shared" si="14"/>
        <v>2</v>
      </c>
      <c r="I225" s="47" t="s">
        <v>351</v>
      </c>
      <c r="J225" s="48" t="s">
        <v>1290</v>
      </c>
      <c r="K225" s="41">
        <f t="shared" si="16"/>
        <v>496</v>
      </c>
    </row>
    <row r="226" spans="1:12" s="41" customFormat="1">
      <c r="D226" s="51" t="s">
        <v>367</v>
      </c>
      <c r="E226" s="44"/>
      <c r="F226" s="44"/>
      <c r="G226" s="41">
        <f t="shared" si="15"/>
        <v>497</v>
      </c>
      <c r="H226" s="45">
        <f t="shared" si="14"/>
        <v>2</v>
      </c>
      <c r="I226" s="47" t="s">
        <v>351</v>
      </c>
      <c r="J226" s="48" t="s">
        <v>1290</v>
      </c>
      <c r="K226" s="41">
        <f t="shared" si="16"/>
        <v>498</v>
      </c>
    </row>
    <row r="227" spans="1:12" s="41" customFormat="1">
      <c r="D227" s="51" t="s">
        <v>366</v>
      </c>
      <c r="E227" s="44"/>
      <c r="F227" s="44"/>
      <c r="G227" s="41">
        <f t="shared" si="15"/>
        <v>499</v>
      </c>
      <c r="H227" s="45">
        <f t="shared" si="14"/>
        <v>2</v>
      </c>
      <c r="I227" s="47" t="s">
        <v>351</v>
      </c>
      <c r="J227" s="48" t="s">
        <v>1290</v>
      </c>
      <c r="K227" s="41">
        <f t="shared" si="16"/>
        <v>500</v>
      </c>
    </row>
    <row r="228" spans="1:12" s="41" customFormat="1">
      <c r="D228" s="51" t="s">
        <v>365</v>
      </c>
      <c r="E228" s="44"/>
      <c r="F228" s="44"/>
      <c r="G228" s="41">
        <f t="shared" si="15"/>
        <v>501</v>
      </c>
      <c r="H228" s="45">
        <f t="shared" si="14"/>
        <v>2</v>
      </c>
      <c r="I228" s="47" t="s">
        <v>351</v>
      </c>
      <c r="J228" s="48" t="s">
        <v>1290</v>
      </c>
      <c r="K228" s="41">
        <f t="shared" si="16"/>
        <v>502</v>
      </c>
    </row>
    <row r="229" spans="1:12" s="41" customFormat="1">
      <c r="D229" s="51" t="s">
        <v>382</v>
      </c>
      <c r="E229" s="44"/>
      <c r="F229" s="44"/>
      <c r="G229" s="41">
        <f t="shared" si="15"/>
        <v>503</v>
      </c>
      <c r="H229" s="45">
        <f t="shared" si="14"/>
        <v>2</v>
      </c>
      <c r="I229" s="47" t="s">
        <v>351</v>
      </c>
      <c r="J229" s="48" t="s">
        <v>312</v>
      </c>
      <c r="K229" s="41">
        <f t="shared" si="16"/>
        <v>504</v>
      </c>
    </row>
    <row r="230" spans="1:12" s="41" customFormat="1">
      <c r="D230" s="51" t="s">
        <v>381</v>
      </c>
      <c r="E230" s="44"/>
      <c r="F230" s="44"/>
      <c r="G230" s="41">
        <f t="shared" si="15"/>
        <v>505</v>
      </c>
      <c r="H230" s="45">
        <f t="shared" si="14"/>
        <v>2</v>
      </c>
      <c r="I230" s="47" t="s">
        <v>351</v>
      </c>
      <c r="J230" s="48" t="s">
        <v>312</v>
      </c>
      <c r="K230" s="41">
        <f t="shared" si="16"/>
        <v>506</v>
      </c>
    </row>
    <row r="231" spans="1:12" s="41" customFormat="1">
      <c r="D231" s="51" t="s">
        <v>380</v>
      </c>
      <c r="E231" s="44"/>
      <c r="F231" s="44"/>
      <c r="G231" s="41">
        <f t="shared" si="15"/>
        <v>507</v>
      </c>
      <c r="H231" s="45">
        <f t="shared" si="14"/>
        <v>2</v>
      </c>
      <c r="I231" s="47" t="s">
        <v>351</v>
      </c>
      <c r="J231" s="48" t="s">
        <v>312</v>
      </c>
      <c r="K231" s="41">
        <f t="shared" si="16"/>
        <v>508</v>
      </c>
    </row>
    <row r="232" spans="1:12" s="41" customFormat="1">
      <c r="D232" s="51" t="s">
        <v>318</v>
      </c>
      <c r="E232" s="44"/>
      <c r="F232" s="44"/>
      <c r="G232" s="41">
        <v>509</v>
      </c>
      <c r="H232" s="45">
        <f t="shared" si="14"/>
        <v>2</v>
      </c>
      <c r="I232" s="47" t="s">
        <v>351</v>
      </c>
      <c r="J232" s="48" t="s">
        <v>312</v>
      </c>
      <c r="K232" s="41">
        <f t="shared" si="16"/>
        <v>510</v>
      </c>
    </row>
    <row r="233" spans="1:12" s="41" customFormat="1">
      <c r="D233" s="51"/>
      <c r="E233" s="44"/>
      <c r="F233" s="44"/>
      <c r="H233" s="44"/>
      <c r="I233" s="44"/>
      <c r="J233" s="44"/>
    </row>
    <row r="234" spans="1:12" s="41" customFormat="1">
      <c r="A234" s="39"/>
      <c r="B234" s="42" t="s">
        <v>1312</v>
      </c>
      <c r="C234" s="42"/>
      <c r="D234" s="52"/>
      <c r="E234" s="45"/>
      <c r="F234" s="45"/>
      <c r="G234" s="42"/>
      <c r="H234" s="44"/>
      <c r="I234" s="45"/>
      <c r="J234" s="44"/>
      <c r="K234" s="42"/>
      <c r="L234" s="43"/>
    </row>
    <row r="235" spans="1:12" s="41" customFormat="1">
      <c r="D235" s="51" t="s">
        <v>319</v>
      </c>
      <c r="E235" s="44"/>
      <c r="F235" s="44"/>
      <c r="G235" s="41">
        <v>531</v>
      </c>
      <c r="H235" s="45">
        <f t="shared" ref="H235:H266" si="17">K235-G235+1</f>
        <v>2</v>
      </c>
      <c r="I235" s="47" t="s">
        <v>351</v>
      </c>
      <c r="J235" s="48" t="s">
        <v>10</v>
      </c>
      <c r="K235" s="41">
        <f t="shared" ref="K235:K266" si="18">G235+1</f>
        <v>532</v>
      </c>
    </row>
    <row r="236" spans="1:12" s="41" customFormat="1">
      <c r="D236" s="51" t="s">
        <v>1244</v>
      </c>
      <c r="E236" s="44"/>
      <c r="F236" s="44"/>
      <c r="G236" s="41">
        <f t="shared" ref="G236:G267" si="19">G235+2</f>
        <v>533</v>
      </c>
      <c r="H236" s="45">
        <f t="shared" si="17"/>
        <v>2</v>
      </c>
      <c r="I236" s="47" t="s">
        <v>351</v>
      </c>
      <c r="J236" s="48" t="s">
        <v>10</v>
      </c>
      <c r="K236" s="41">
        <f t="shared" si="18"/>
        <v>534</v>
      </c>
    </row>
    <row r="237" spans="1:12" s="41" customFormat="1">
      <c r="D237" s="51" t="s">
        <v>1243</v>
      </c>
      <c r="E237" s="44"/>
      <c r="F237" s="44"/>
      <c r="G237" s="41">
        <f t="shared" si="19"/>
        <v>535</v>
      </c>
      <c r="H237" s="45">
        <f t="shared" si="17"/>
        <v>2</v>
      </c>
      <c r="I237" s="47" t="s">
        <v>351</v>
      </c>
      <c r="J237" s="48" t="s">
        <v>10</v>
      </c>
      <c r="K237" s="41">
        <f t="shared" si="18"/>
        <v>536</v>
      </c>
    </row>
    <row r="238" spans="1:12" s="41" customFormat="1">
      <c r="D238" s="51" t="s">
        <v>397</v>
      </c>
      <c r="E238" s="44"/>
      <c r="F238" s="44"/>
      <c r="G238" s="41">
        <f t="shared" si="19"/>
        <v>537</v>
      </c>
      <c r="H238" s="45">
        <f t="shared" si="17"/>
        <v>2</v>
      </c>
      <c r="I238" s="47" t="s">
        <v>351</v>
      </c>
      <c r="J238" s="48" t="s">
        <v>10</v>
      </c>
      <c r="K238" s="41">
        <f t="shared" si="18"/>
        <v>538</v>
      </c>
    </row>
    <row r="239" spans="1:12" s="41" customFormat="1">
      <c r="D239" s="51" t="s">
        <v>396</v>
      </c>
      <c r="E239" s="44"/>
      <c r="F239" s="44"/>
      <c r="G239" s="41">
        <f t="shared" si="19"/>
        <v>539</v>
      </c>
      <c r="H239" s="45">
        <f t="shared" si="17"/>
        <v>2</v>
      </c>
      <c r="I239" s="47" t="s">
        <v>351</v>
      </c>
      <c r="J239" s="48" t="s">
        <v>10</v>
      </c>
      <c r="K239" s="41">
        <f t="shared" si="18"/>
        <v>540</v>
      </c>
    </row>
    <row r="240" spans="1:12" s="41" customFormat="1">
      <c r="D240" s="51" t="s">
        <v>395</v>
      </c>
      <c r="E240" s="44"/>
      <c r="F240" s="44"/>
      <c r="G240" s="41">
        <f t="shared" si="19"/>
        <v>541</v>
      </c>
      <c r="H240" s="45">
        <f t="shared" si="17"/>
        <v>2</v>
      </c>
      <c r="I240" s="47" t="s">
        <v>351</v>
      </c>
      <c r="J240" s="48" t="s">
        <v>10</v>
      </c>
      <c r="K240" s="41">
        <f t="shared" si="18"/>
        <v>542</v>
      </c>
    </row>
    <row r="241" spans="4:11" s="41" customFormat="1">
      <c r="D241" s="51" t="s">
        <v>394</v>
      </c>
      <c r="E241" s="44"/>
      <c r="F241" s="44"/>
      <c r="G241" s="41">
        <f t="shared" si="19"/>
        <v>543</v>
      </c>
      <c r="H241" s="45">
        <f t="shared" si="17"/>
        <v>2</v>
      </c>
      <c r="I241" s="47" t="s">
        <v>351</v>
      </c>
      <c r="J241" s="48" t="s">
        <v>33</v>
      </c>
      <c r="K241" s="41">
        <f t="shared" si="18"/>
        <v>544</v>
      </c>
    </row>
    <row r="242" spans="4:11" s="41" customFormat="1">
      <c r="D242" s="51" t="s">
        <v>393</v>
      </c>
      <c r="E242" s="44"/>
      <c r="F242" s="44"/>
      <c r="G242" s="41">
        <f t="shared" si="19"/>
        <v>545</v>
      </c>
      <c r="H242" s="45">
        <f t="shared" si="17"/>
        <v>2</v>
      </c>
      <c r="I242" s="47" t="s">
        <v>351</v>
      </c>
      <c r="J242" s="48" t="s">
        <v>33</v>
      </c>
      <c r="K242" s="41">
        <f t="shared" si="18"/>
        <v>546</v>
      </c>
    </row>
    <row r="243" spans="4:11" s="41" customFormat="1">
      <c r="D243" s="51" t="s">
        <v>392</v>
      </c>
      <c r="E243" s="44"/>
      <c r="F243" s="44"/>
      <c r="G243" s="41">
        <f t="shared" si="19"/>
        <v>547</v>
      </c>
      <c r="H243" s="45">
        <f t="shared" si="17"/>
        <v>2</v>
      </c>
      <c r="I243" s="47" t="s">
        <v>351</v>
      </c>
      <c r="J243" s="48" t="s">
        <v>33</v>
      </c>
      <c r="K243" s="41">
        <f t="shared" si="18"/>
        <v>548</v>
      </c>
    </row>
    <row r="244" spans="4:11" s="41" customFormat="1">
      <c r="D244" s="51" t="s">
        <v>1242</v>
      </c>
      <c r="E244" s="44"/>
      <c r="F244" s="44"/>
      <c r="G244" s="41">
        <f t="shared" si="19"/>
        <v>549</v>
      </c>
      <c r="H244" s="45">
        <f t="shared" si="17"/>
        <v>2</v>
      </c>
      <c r="I244" s="47" t="s">
        <v>351</v>
      </c>
      <c r="J244" s="48" t="s">
        <v>10</v>
      </c>
      <c r="K244" s="41">
        <f t="shared" si="18"/>
        <v>550</v>
      </c>
    </row>
    <row r="245" spans="4:11" s="41" customFormat="1">
      <c r="D245" s="51" t="s">
        <v>1241</v>
      </c>
      <c r="E245" s="44"/>
      <c r="F245" s="44"/>
      <c r="G245" s="41">
        <f t="shared" si="19"/>
        <v>551</v>
      </c>
      <c r="H245" s="45">
        <f t="shared" si="17"/>
        <v>2</v>
      </c>
      <c r="I245" s="47" t="s">
        <v>351</v>
      </c>
      <c r="J245" s="48" t="s">
        <v>10</v>
      </c>
      <c r="K245" s="41">
        <f t="shared" si="18"/>
        <v>552</v>
      </c>
    </row>
    <row r="246" spans="4:11" s="41" customFormat="1">
      <c r="D246" s="51" t="s">
        <v>1240</v>
      </c>
      <c r="E246" s="44"/>
      <c r="F246" s="44"/>
      <c r="G246" s="41">
        <f t="shared" si="19"/>
        <v>553</v>
      </c>
      <c r="H246" s="45">
        <f t="shared" si="17"/>
        <v>2</v>
      </c>
      <c r="I246" s="47" t="s">
        <v>351</v>
      </c>
      <c r="J246" s="48" t="s">
        <v>33</v>
      </c>
      <c r="K246" s="41">
        <f t="shared" si="18"/>
        <v>554</v>
      </c>
    </row>
    <row r="247" spans="4:11" s="41" customFormat="1">
      <c r="D247" s="51" t="s">
        <v>1239</v>
      </c>
      <c r="E247" s="44"/>
      <c r="F247" s="44"/>
      <c r="G247" s="41">
        <f t="shared" si="19"/>
        <v>555</v>
      </c>
      <c r="H247" s="45">
        <f t="shared" si="17"/>
        <v>2</v>
      </c>
      <c r="I247" s="47" t="s">
        <v>351</v>
      </c>
      <c r="J247" s="48" t="s">
        <v>33</v>
      </c>
      <c r="K247" s="41">
        <f t="shared" si="18"/>
        <v>556</v>
      </c>
    </row>
    <row r="248" spans="4:11" s="41" customFormat="1">
      <c r="D248" s="51" t="s">
        <v>388</v>
      </c>
      <c r="E248" s="44"/>
      <c r="F248" s="44"/>
      <c r="G248" s="41">
        <f t="shared" si="19"/>
        <v>557</v>
      </c>
      <c r="H248" s="45">
        <f t="shared" si="17"/>
        <v>2</v>
      </c>
      <c r="I248" s="47" t="s">
        <v>351</v>
      </c>
      <c r="J248" s="48" t="s">
        <v>18</v>
      </c>
      <c r="K248" s="41">
        <f t="shared" si="18"/>
        <v>558</v>
      </c>
    </row>
    <row r="249" spans="4:11" s="41" customFormat="1">
      <c r="D249" s="51" t="s">
        <v>387</v>
      </c>
      <c r="E249" s="44"/>
      <c r="F249" s="44"/>
      <c r="G249" s="41">
        <f t="shared" si="19"/>
        <v>559</v>
      </c>
      <c r="H249" s="45">
        <f t="shared" si="17"/>
        <v>2</v>
      </c>
      <c r="I249" s="47" t="s">
        <v>351</v>
      </c>
      <c r="J249" s="48" t="s">
        <v>18</v>
      </c>
      <c r="K249" s="41">
        <f t="shared" si="18"/>
        <v>560</v>
      </c>
    </row>
    <row r="250" spans="4:11" s="41" customFormat="1">
      <c r="D250" s="51" t="s">
        <v>386</v>
      </c>
      <c r="E250" s="44"/>
      <c r="F250" s="44"/>
      <c r="G250" s="41">
        <f t="shared" si="19"/>
        <v>561</v>
      </c>
      <c r="H250" s="45">
        <f t="shared" si="17"/>
        <v>2</v>
      </c>
      <c r="I250" s="47" t="s">
        <v>351</v>
      </c>
      <c r="J250" s="48" t="s">
        <v>18</v>
      </c>
      <c r="K250" s="41">
        <f t="shared" si="18"/>
        <v>562</v>
      </c>
    </row>
    <row r="251" spans="4:11" s="41" customFormat="1">
      <c r="D251" s="51" t="s">
        <v>1238</v>
      </c>
      <c r="E251" s="44"/>
      <c r="F251" s="44"/>
      <c r="G251" s="41">
        <f t="shared" si="19"/>
        <v>563</v>
      </c>
      <c r="H251" s="45">
        <f t="shared" si="17"/>
        <v>2</v>
      </c>
      <c r="I251" s="47" t="s">
        <v>351</v>
      </c>
      <c r="J251" s="48" t="s">
        <v>18</v>
      </c>
      <c r="K251" s="41">
        <f t="shared" si="18"/>
        <v>564</v>
      </c>
    </row>
    <row r="252" spans="4:11" s="41" customFormat="1">
      <c r="D252" s="51" t="s">
        <v>385</v>
      </c>
      <c r="E252" s="44"/>
      <c r="F252" s="44"/>
      <c r="G252" s="41">
        <f t="shared" si="19"/>
        <v>565</v>
      </c>
      <c r="H252" s="45">
        <f t="shared" si="17"/>
        <v>2</v>
      </c>
      <c r="I252" s="47" t="s">
        <v>351</v>
      </c>
      <c r="J252" s="48" t="s">
        <v>312</v>
      </c>
      <c r="K252" s="41">
        <f t="shared" si="18"/>
        <v>566</v>
      </c>
    </row>
    <row r="253" spans="4:11" s="41" customFormat="1">
      <c r="D253" s="51" t="s">
        <v>384</v>
      </c>
      <c r="E253" s="44"/>
      <c r="F253" s="44"/>
      <c r="G253" s="41">
        <f t="shared" si="19"/>
        <v>567</v>
      </c>
      <c r="H253" s="45">
        <f t="shared" si="17"/>
        <v>2</v>
      </c>
      <c r="I253" s="47" t="s">
        <v>351</v>
      </c>
      <c r="J253" s="48" t="s">
        <v>312</v>
      </c>
      <c r="K253" s="41">
        <f t="shared" si="18"/>
        <v>568</v>
      </c>
    </row>
    <row r="254" spans="4:11" s="41" customFormat="1">
      <c r="D254" s="51" t="s">
        <v>383</v>
      </c>
      <c r="E254" s="44"/>
      <c r="F254" s="44"/>
      <c r="G254" s="41">
        <f t="shared" si="19"/>
        <v>569</v>
      </c>
      <c r="H254" s="45">
        <f t="shared" si="17"/>
        <v>2</v>
      </c>
      <c r="I254" s="47" t="s">
        <v>351</v>
      </c>
      <c r="J254" s="48" t="s">
        <v>312</v>
      </c>
      <c r="K254" s="41">
        <f t="shared" si="18"/>
        <v>570</v>
      </c>
    </row>
    <row r="255" spans="4:11" s="41" customFormat="1">
      <c r="D255" s="51" t="s">
        <v>1237</v>
      </c>
      <c r="E255" s="44"/>
      <c r="F255" s="44"/>
      <c r="G255" s="41">
        <f t="shared" si="19"/>
        <v>571</v>
      </c>
      <c r="H255" s="45">
        <f t="shared" si="17"/>
        <v>2</v>
      </c>
      <c r="I255" s="47" t="s">
        <v>351</v>
      </c>
      <c r="J255" s="48" t="s">
        <v>312</v>
      </c>
      <c r="K255" s="41">
        <f t="shared" si="18"/>
        <v>572</v>
      </c>
    </row>
    <row r="256" spans="4:11" s="41" customFormat="1">
      <c r="D256" s="51" t="s">
        <v>391</v>
      </c>
      <c r="E256" s="44"/>
      <c r="F256" s="44"/>
      <c r="G256" s="41">
        <f t="shared" si="19"/>
        <v>573</v>
      </c>
      <c r="H256" s="45">
        <f t="shared" si="17"/>
        <v>2</v>
      </c>
      <c r="I256" s="47" t="s">
        <v>351</v>
      </c>
      <c r="J256" s="48" t="s">
        <v>21</v>
      </c>
      <c r="K256" s="41">
        <f t="shared" si="18"/>
        <v>574</v>
      </c>
    </row>
    <row r="257" spans="4:11" s="41" customFormat="1">
      <c r="D257" s="51" t="s">
        <v>390</v>
      </c>
      <c r="E257" s="44"/>
      <c r="F257" s="44"/>
      <c r="G257" s="41">
        <f t="shared" si="19"/>
        <v>575</v>
      </c>
      <c r="H257" s="45">
        <f t="shared" si="17"/>
        <v>2</v>
      </c>
      <c r="I257" s="47" t="s">
        <v>351</v>
      </c>
      <c r="J257" s="48" t="s">
        <v>21</v>
      </c>
      <c r="K257" s="41">
        <f t="shared" si="18"/>
        <v>576</v>
      </c>
    </row>
    <row r="258" spans="4:11" s="41" customFormat="1">
      <c r="D258" s="51" t="s">
        <v>389</v>
      </c>
      <c r="E258" s="44"/>
      <c r="F258" s="44"/>
      <c r="G258" s="41">
        <f t="shared" si="19"/>
        <v>577</v>
      </c>
      <c r="H258" s="45">
        <f t="shared" si="17"/>
        <v>2</v>
      </c>
      <c r="I258" s="47" t="s">
        <v>351</v>
      </c>
      <c r="J258" s="48" t="s">
        <v>21</v>
      </c>
      <c r="K258" s="41">
        <f t="shared" si="18"/>
        <v>578</v>
      </c>
    </row>
    <row r="259" spans="4:11" s="41" customFormat="1">
      <c r="D259" s="51" t="s">
        <v>1236</v>
      </c>
      <c r="E259" s="44"/>
      <c r="F259" s="44"/>
      <c r="G259" s="41">
        <f t="shared" si="19"/>
        <v>579</v>
      </c>
      <c r="H259" s="45">
        <f t="shared" si="17"/>
        <v>2</v>
      </c>
      <c r="I259" s="47" t="s">
        <v>351</v>
      </c>
      <c r="J259" s="48" t="s">
        <v>21</v>
      </c>
      <c r="K259" s="41">
        <f t="shared" si="18"/>
        <v>580</v>
      </c>
    </row>
    <row r="260" spans="4:11" s="41" customFormat="1">
      <c r="D260" s="51" t="s">
        <v>376</v>
      </c>
      <c r="E260" s="44"/>
      <c r="F260" s="44"/>
      <c r="G260" s="41">
        <f t="shared" si="19"/>
        <v>581</v>
      </c>
      <c r="H260" s="45">
        <f t="shared" si="17"/>
        <v>2</v>
      </c>
      <c r="I260" s="47" t="s">
        <v>351</v>
      </c>
      <c r="J260" s="48" t="s">
        <v>303</v>
      </c>
      <c r="K260" s="41">
        <f t="shared" si="18"/>
        <v>582</v>
      </c>
    </row>
    <row r="261" spans="4:11" s="41" customFormat="1">
      <c r="D261" s="51" t="s">
        <v>375</v>
      </c>
      <c r="E261" s="44"/>
      <c r="F261" s="44"/>
      <c r="G261" s="41">
        <f t="shared" si="19"/>
        <v>583</v>
      </c>
      <c r="H261" s="45">
        <f t="shared" si="17"/>
        <v>2</v>
      </c>
      <c r="I261" s="47" t="s">
        <v>351</v>
      </c>
      <c r="J261" s="48" t="s">
        <v>303</v>
      </c>
      <c r="K261" s="41">
        <f t="shared" si="18"/>
        <v>584</v>
      </c>
    </row>
    <row r="262" spans="4:11" s="41" customFormat="1">
      <c r="D262" s="51" t="s">
        <v>374</v>
      </c>
      <c r="E262" s="44"/>
      <c r="F262" s="44"/>
      <c r="G262" s="41">
        <f t="shared" si="19"/>
        <v>585</v>
      </c>
      <c r="H262" s="45">
        <f t="shared" si="17"/>
        <v>2</v>
      </c>
      <c r="I262" s="47" t="s">
        <v>351</v>
      </c>
      <c r="J262" s="48" t="s">
        <v>303</v>
      </c>
      <c r="K262" s="41">
        <f t="shared" si="18"/>
        <v>586</v>
      </c>
    </row>
    <row r="263" spans="4:11" s="41" customFormat="1">
      <c r="D263" s="51" t="s">
        <v>373</v>
      </c>
      <c r="E263" s="44"/>
      <c r="F263" s="44"/>
      <c r="G263" s="41">
        <f t="shared" si="19"/>
        <v>587</v>
      </c>
      <c r="H263" s="45">
        <f t="shared" si="17"/>
        <v>2</v>
      </c>
      <c r="I263" s="47" t="s">
        <v>351</v>
      </c>
      <c r="J263" s="48" t="s">
        <v>303</v>
      </c>
      <c r="K263" s="41">
        <f t="shared" si="18"/>
        <v>588</v>
      </c>
    </row>
    <row r="264" spans="4:11" s="41" customFormat="1">
      <c r="D264" s="51" t="s">
        <v>379</v>
      </c>
      <c r="E264" s="44"/>
      <c r="F264" s="44"/>
      <c r="G264" s="41">
        <f t="shared" si="19"/>
        <v>589</v>
      </c>
      <c r="H264" s="45">
        <f t="shared" si="17"/>
        <v>2</v>
      </c>
      <c r="I264" s="47" t="s">
        <v>351</v>
      </c>
      <c r="J264" s="48" t="s">
        <v>303</v>
      </c>
      <c r="K264" s="41">
        <f t="shared" si="18"/>
        <v>590</v>
      </c>
    </row>
    <row r="265" spans="4:11" s="41" customFormat="1">
      <c r="D265" s="51" t="s">
        <v>378</v>
      </c>
      <c r="E265" s="44"/>
      <c r="F265" s="44"/>
      <c r="G265" s="41">
        <f t="shared" si="19"/>
        <v>591</v>
      </c>
      <c r="H265" s="45">
        <f t="shared" si="17"/>
        <v>2</v>
      </c>
      <c r="I265" s="47" t="s">
        <v>351</v>
      </c>
      <c r="J265" s="48" t="s">
        <v>303</v>
      </c>
      <c r="K265" s="41">
        <f t="shared" si="18"/>
        <v>592</v>
      </c>
    </row>
    <row r="266" spans="4:11" s="41" customFormat="1">
      <c r="D266" s="51" t="s">
        <v>377</v>
      </c>
      <c r="E266" s="44"/>
      <c r="F266" s="44"/>
      <c r="G266" s="41">
        <f t="shared" si="19"/>
        <v>593</v>
      </c>
      <c r="H266" s="45">
        <f t="shared" si="17"/>
        <v>2</v>
      </c>
      <c r="I266" s="47" t="s">
        <v>351</v>
      </c>
      <c r="J266" s="48" t="s">
        <v>303</v>
      </c>
      <c r="K266" s="41">
        <f t="shared" si="18"/>
        <v>594</v>
      </c>
    </row>
    <row r="267" spans="4:11" s="41" customFormat="1">
      <c r="D267" s="51" t="s">
        <v>1235</v>
      </c>
      <c r="E267" s="44"/>
      <c r="F267" s="44"/>
      <c r="G267" s="41">
        <f t="shared" si="19"/>
        <v>595</v>
      </c>
      <c r="H267" s="45">
        <f t="shared" ref="H267:H289" si="20">K267-G267+1</f>
        <v>2</v>
      </c>
      <c r="I267" s="47" t="s">
        <v>351</v>
      </c>
      <c r="J267" s="48" t="s">
        <v>303</v>
      </c>
      <c r="K267" s="41">
        <f t="shared" ref="K267:K288" si="21">G267+1</f>
        <v>596</v>
      </c>
    </row>
    <row r="268" spans="4:11" s="41" customFormat="1">
      <c r="D268" s="51" t="s">
        <v>364</v>
      </c>
      <c r="E268" s="44"/>
      <c r="F268" s="44"/>
      <c r="G268" s="41">
        <f t="shared" ref="G268:G288" si="22">G267+2</f>
        <v>597</v>
      </c>
      <c r="H268" s="45">
        <f t="shared" si="20"/>
        <v>2</v>
      </c>
      <c r="I268" s="47" t="s">
        <v>351</v>
      </c>
      <c r="J268" s="48" t="s">
        <v>1290</v>
      </c>
      <c r="K268" s="41">
        <f t="shared" si="21"/>
        <v>598</v>
      </c>
    </row>
    <row r="269" spans="4:11" s="41" customFormat="1">
      <c r="D269" s="51" t="s">
        <v>363</v>
      </c>
      <c r="E269" s="44"/>
      <c r="F269" s="44"/>
      <c r="G269" s="41">
        <f t="shared" si="22"/>
        <v>599</v>
      </c>
      <c r="H269" s="45">
        <f t="shared" si="20"/>
        <v>2</v>
      </c>
      <c r="I269" s="47" t="s">
        <v>351</v>
      </c>
      <c r="J269" s="48" t="s">
        <v>1290</v>
      </c>
      <c r="K269" s="41">
        <f t="shared" si="21"/>
        <v>600</v>
      </c>
    </row>
    <row r="270" spans="4:11" s="41" customFormat="1">
      <c r="D270" s="51" t="s">
        <v>362</v>
      </c>
      <c r="E270" s="44"/>
      <c r="F270" s="44"/>
      <c r="G270" s="41">
        <f t="shared" si="22"/>
        <v>601</v>
      </c>
      <c r="H270" s="45">
        <f t="shared" si="20"/>
        <v>2</v>
      </c>
      <c r="I270" s="47" t="s">
        <v>351</v>
      </c>
      <c r="J270" s="48" t="s">
        <v>1290</v>
      </c>
      <c r="K270" s="41">
        <f t="shared" si="21"/>
        <v>602</v>
      </c>
    </row>
    <row r="271" spans="4:11" s="41" customFormat="1">
      <c r="D271" s="51" t="s">
        <v>361</v>
      </c>
      <c r="E271" s="44"/>
      <c r="F271" s="44"/>
      <c r="G271" s="41">
        <f t="shared" si="22"/>
        <v>603</v>
      </c>
      <c r="H271" s="45">
        <f t="shared" si="20"/>
        <v>2</v>
      </c>
      <c r="I271" s="47" t="s">
        <v>351</v>
      </c>
      <c r="J271" s="48" t="s">
        <v>1290</v>
      </c>
      <c r="K271" s="41">
        <f t="shared" si="21"/>
        <v>604</v>
      </c>
    </row>
    <row r="272" spans="4:11" s="41" customFormat="1">
      <c r="D272" s="51" t="s">
        <v>1234</v>
      </c>
      <c r="E272" s="44"/>
      <c r="F272" s="44"/>
      <c r="G272" s="41">
        <f t="shared" si="22"/>
        <v>605</v>
      </c>
      <c r="H272" s="45">
        <f t="shared" si="20"/>
        <v>2</v>
      </c>
      <c r="I272" s="47" t="s">
        <v>351</v>
      </c>
      <c r="J272" s="48" t="s">
        <v>11</v>
      </c>
      <c r="K272" s="41">
        <f t="shared" si="21"/>
        <v>606</v>
      </c>
    </row>
    <row r="273" spans="4:11" s="41" customFormat="1">
      <c r="D273" s="51" t="s">
        <v>360</v>
      </c>
      <c r="E273" s="44"/>
      <c r="F273" s="44"/>
      <c r="G273" s="41">
        <f t="shared" si="22"/>
        <v>607</v>
      </c>
      <c r="H273" s="45">
        <f t="shared" si="20"/>
        <v>2</v>
      </c>
      <c r="I273" s="47" t="s">
        <v>351</v>
      </c>
      <c r="J273" s="48" t="s">
        <v>358</v>
      </c>
      <c r="K273" s="41">
        <f t="shared" si="21"/>
        <v>608</v>
      </c>
    </row>
    <row r="274" spans="4:11" s="41" customFormat="1">
      <c r="D274" s="51" t="s">
        <v>359</v>
      </c>
      <c r="E274" s="44"/>
      <c r="F274" s="44"/>
      <c r="G274" s="41">
        <f t="shared" si="22"/>
        <v>609</v>
      </c>
      <c r="H274" s="45">
        <f t="shared" si="20"/>
        <v>2</v>
      </c>
      <c r="I274" s="47" t="s">
        <v>351</v>
      </c>
      <c r="J274" s="48" t="s">
        <v>358</v>
      </c>
      <c r="K274" s="41">
        <f t="shared" si="21"/>
        <v>610</v>
      </c>
    </row>
    <row r="275" spans="4:11" s="41" customFormat="1">
      <c r="D275" s="51" t="s">
        <v>1245</v>
      </c>
      <c r="E275" s="44"/>
      <c r="F275" s="44"/>
      <c r="G275" s="41">
        <f t="shared" si="22"/>
        <v>611</v>
      </c>
      <c r="H275" s="45">
        <f t="shared" si="20"/>
        <v>2</v>
      </c>
      <c r="I275" s="47" t="s">
        <v>351</v>
      </c>
      <c r="J275" s="48" t="s">
        <v>11</v>
      </c>
      <c r="K275" s="41">
        <f t="shared" si="21"/>
        <v>612</v>
      </c>
    </row>
    <row r="276" spans="4:11" s="41" customFormat="1">
      <c r="D276" s="51" t="s">
        <v>357</v>
      </c>
      <c r="E276" s="44"/>
      <c r="F276" s="44"/>
      <c r="G276" s="41">
        <f t="shared" si="22"/>
        <v>613</v>
      </c>
      <c r="H276" s="45">
        <f t="shared" si="20"/>
        <v>2</v>
      </c>
      <c r="I276" s="47" t="s">
        <v>351</v>
      </c>
      <c r="J276" s="48" t="s">
        <v>303</v>
      </c>
      <c r="K276" s="41">
        <f t="shared" si="21"/>
        <v>614</v>
      </c>
    </row>
    <row r="277" spans="4:11" s="41" customFormat="1">
      <c r="D277" s="51" t="s">
        <v>356</v>
      </c>
      <c r="E277" s="44"/>
      <c r="F277" s="44"/>
      <c r="G277" s="41">
        <f t="shared" si="22"/>
        <v>615</v>
      </c>
      <c r="H277" s="45">
        <f t="shared" si="20"/>
        <v>2</v>
      </c>
      <c r="I277" s="47" t="s">
        <v>351</v>
      </c>
      <c r="J277" s="48" t="s">
        <v>303</v>
      </c>
      <c r="K277" s="41">
        <f t="shared" si="21"/>
        <v>616</v>
      </c>
    </row>
    <row r="278" spans="4:11" s="41" customFormat="1">
      <c r="D278" s="51" t="s">
        <v>355</v>
      </c>
      <c r="E278" s="44"/>
      <c r="F278" s="44"/>
      <c r="G278" s="41">
        <f t="shared" si="22"/>
        <v>617</v>
      </c>
      <c r="H278" s="45">
        <f t="shared" si="20"/>
        <v>2</v>
      </c>
      <c r="I278" s="47" t="s">
        <v>351</v>
      </c>
      <c r="J278" s="48" t="s">
        <v>303</v>
      </c>
      <c r="K278" s="41">
        <f t="shared" si="21"/>
        <v>618</v>
      </c>
    </row>
    <row r="279" spans="4:11" s="41" customFormat="1">
      <c r="D279" s="51" t="s">
        <v>371</v>
      </c>
      <c r="E279" s="44"/>
      <c r="F279" s="44"/>
      <c r="G279" s="41">
        <f t="shared" si="22"/>
        <v>619</v>
      </c>
      <c r="H279" s="45">
        <f t="shared" si="20"/>
        <v>2</v>
      </c>
      <c r="I279" s="47" t="s">
        <v>351</v>
      </c>
      <c r="J279" s="48" t="s">
        <v>303</v>
      </c>
      <c r="K279" s="41">
        <f t="shared" si="21"/>
        <v>620</v>
      </c>
    </row>
    <row r="280" spans="4:11" s="41" customFormat="1">
      <c r="D280" s="51" t="s">
        <v>370</v>
      </c>
      <c r="E280" s="44"/>
      <c r="F280" s="44"/>
      <c r="G280" s="41">
        <f t="shared" si="22"/>
        <v>621</v>
      </c>
      <c r="H280" s="45">
        <f t="shared" si="20"/>
        <v>2</v>
      </c>
      <c r="I280" s="47" t="s">
        <v>351</v>
      </c>
      <c r="J280" s="48" t="s">
        <v>303</v>
      </c>
      <c r="K280" s="41">
        <f t="shared" si="21"/>
        <v>622</v>
      </c>
    </row>
    <row r="281" spans="4:11" s="41" customFormat="1">
      <c r="D281" s="51" t="s">
        <v>369</v>
      </c>
      <c r="E281" s="44"/>
      <c r="F281" s="44"/>
      <c r="G281" s="41">
        <f t="shared" si="22"/>
        <v>623</v>
      </c>
      <c r="H281" s="45">
        <f t="shared" si="20"/>
        <v>2</v>
      </c>
      <c r="I281" s="47" t="s">
        <v>351</v>
      </c>
      <c r="J281" s="48" t="s">
        <v>303</v>
      </c>
      <c r="K281" s="41">
        <f t="shared" si="21"/>
        <v>624</v>
      </c>
    </row>
    <row r="282" spans="4:11" s="41" customFormat="1">
      <c r="D282" s="51" t="s">
        <v>368</v>
      </c>
      <c r="E282" s="44"/>
      <c r="F282" s="44"/>
      <c r="G282" s="41">
        <f t="shared" si="22"/>
        <v>625</v>
      </c>
      <c r="H282" s="45">
        <f t="shared" si="20"/>
        <v>2</v>
      </c>
      <c r="I282" s="47" t="s">
        <v>351</v>
      </c>
      <c r="J282" s="48" t="s">
        <v>1290</v>
      </c>
      <c r="K282" s="41">
        <f t="shared" si="21"/>
        <v>626</v>
      </c>
    </row>
    <row r="283" spans="4:11" s="41" customFormat="1">
      <c r="D283" s="51" t="s">
        <v>367</v>
      </c>
      <c r="E283" s="44"/>
      <c r="F283" s="44"/>
      <c r="G283" s="41">
        <f t="shared" si="22"/>
        <v>627</v>
      </c>
      <c r="H283" s="45">
        <f t="shared" si="20"/>
        <v>2</v>
      </c>
      <c r="I283" s="47" t="s">
        <v>351</v>
      </c>
      <c r="J283" s="48" t="s">
        <v>1290</v>
      </c>
      <c r="K283" s="41">
        <f t="shared" si="21"/>
        <v>628</v>
      </c>
    </row>
    <row r="284" spans="4:11" s="41" customFormat="1">
      <c r="D284" s="51" t="s">
        <v>366</v>
      </c>
      <c r="E284" s="44"/>
      <c r="F284" s="44"/>
      <c r="G284" s="41">
        <f t="shared" si="22"/>
        <v>629</v>
      </c>
      <c r="H284" s="45">
        <f t="shared" si="20"/>
        <v>2</v>
      </c>
      <c r="I284" s="47" t="s">
        <v>351</v>
      </c>
      <c r="J284" s="48" t="s">
        <v>1290</v>
      </c>
      <c r="K284" s="41">
        <f t="shared" si="21"/>
        <v>630</v>
      </c>
    </row>
    <row r="285" spans="4:11" s="41" customFormat="1">
      <c r="D285" s="51" t="s">
        <v>365</v>
      </c>
      <c r="E285" s="44"/>
      <c r="F285" s="44"/>
      <c r="G285" s="41">
        <f t="shared" si="22"/>
        <v>631</v>
      </c>
      <c r="H285" s="45">
        <f t="shared" si="20"/>
        <v>2</v>
      </c>
      <c r="I285" s="47" t="s">
        <v>351</v>
      </c>
      <c r="J285" s="48" t="s">
        <v>1290</v>
      </c>
      <c r="K285" s="41">
        <f t="shared" si="21"/>
        <v>632</v>
      </c>
    </row>
    <row r="286" spans="4:11" s="41" customFormat="1">
      <c r="D286" s="51" t="s">
        <v>382</v>
      </c>
      <c r="E286" s="44"/>
      <c r="F286" s="44"/>
      <c r="G286" s="41">
        <f t="shared" si="22"/>
        <v>633</v>
      </c>
      <c r="H286" s="45">
        <f t="shared" si="20"/>
        <v>2</v>
      </c>
      <c r="I286" s="47" t="s">
        <v>351</v>
      </c>
      <c r="J286" s="48" t="s">
        <v>312</v>
      </c>
      <c r="K286" s="41">
        <f t="shared" si="21"/>
        <v>634</v>
      </c>
    </row>
    <row r="287" spans="4:11" s="41" customFormat="1">
      <c r="D287" s="51" t="s">
        <v>381</v>
      </c>
      <c r="E287" s="44"/>
      <c r="F287" s="44"/>
      <c r="G287" s="41">
        <f t="shared" si="22"/>
        <v>635</v>
      </c>
      <c r="H287" s="45">
        <f t="shared" si="20"/>
        <v>2</v>
      </c>
      <c r="I287" s="47" t="s">
        <v>351</v>
      </c>
      <c r="J287" s="48" t="s">
        <v>312</v>
      </c>
      <c r="K287" s="41">
        <f t="shared" si="21"/>
        <v>636</v>
      </c>
    </row>
    <row r="288" spans="4:11" s="41" customFormat="1">
      <c r="D288" s="51" t="s">
        <v>380</v>
      </c>
      <c r="E288" s="44"/>
      <c r="F288" s="44"/>
      <c r="G288" s="41">
        <f t="shared" si="22"/>
        <v>637</v>
      </c>
      <c r="H288" s="45">
        <f t="shared" si="20"/>
        <v>2</v>
      </c>
      <c r="I288" s="47" t="s">
        <v>351</v>
      </c>
      <c r="J288" s="48" t="s">
        <v>312</v>
      </c>
      <c r="K288" s="41">
        <f t="shared" si="21"/>
        <v>638</v>
      </c>
    </row>
    <row r="289" spans="1:12" s="41" customFormat="1">
      <c r="D289" s="51" t="s">
        <v>318</v>
      </c>
      <c r="E289" s="44"/>
      <c r="F289" s="44"/>
      <c r="G289" s="41">
        <v>639</v>
      </c>
      <c r="H289" s="45">
        <f t="shared" si="20"/>
        <v>2</v>
      </c>
      <c r="I289" s="47" t="s">
        <v>351</v>
      </c>
      <c r="J289" s="48" t="s">
        <v>312</v>
      </c>
      <c r="K289" s="41">
        <v>640</v>
      </c>
    </row>
    <row r="290" spans="1:12" s="41" customFormat="1">
      <c r="D290" s="51"/>
      <c r="E290" s="44"/>
      <c r="F290" s="44"/>
      <c r="H290" s="44"/>
      <c r="I290" s="44"/>
      <c r="J290" s="44"/>
    </row>
    <row r="291" spans="1:12" s="41" customFormat="1">
      <c r="A291" s="39"/>
      <c r="B291" s="42" t="s">
        <v>1313</v>
      </c>
      <c r="C291" s="42"/>
      <c r="D291" s="52"/>
      <c r="E291" s="45"/>
      <c r="F291" s="45"/>
      <c r="G291" s="42"/>
      <c r="H291" s="44"/>
      <c r="I291" s="45"/>
      <c r="J291" s="44"/>
      <c r="K291" s="42"/>
      <c r="L291" s="43"/>
    </row>
    <row r="292" spans="1:12" s="41" customFormat="1">
      <c r="D292" s="51" t="s">
        <v>319</v>
      </c>
      <c r="E292" s="44"/>
      <c r="F292" s="44"/>
      <c r="G292" s="41">
        <v>651</v>
      </c>
      <c r="H292" s="45">
        <f t="shared" ref="H292:H323" si="23">K292-G292+1</f>
        <v>2</v>
      </c>
      <c r="I292" s="47" t="s">
        <v>351</v>
      </c>
      <c r="J292" s="48" t="s">
        <v>10</v>
      </c>
      <c r="K292" s="41">
        <v>652</v>
      </c>
    </row>
    <row r="293" spans="1:12" s="41" customFormat="1">
      <c r="D293" s="51" t="s">
        <v>1244</v>
      </c>
      <c r="E293" s="44"/>
      <c r="F293" s="44"/>
      <c r="G293" s="41">
        <f t="shared" ref="G293:G324" si="24">G292+2</f>
        <v>653</v>
      </c>
      <c r="H293" s="45">
        <f t="shared" si="23"/>
        <v>2</v>
      </c>
      <c r="I293" s="47" t="s">
        <v>351</v>
      </c>
      <c r="J293" s="48" t="s">
        <v>10</v>
      </c>
      <c r="K293" s="41">
        <f t="shared" ref="K293:K324" si="25">K292 + 2</f>
        <v>654</v>
      </c>
    </row>
    <row r="294" spans="1:12" s="41" customFormat="1">
      <c r="D294" s="51" t="s">
        <v>1243</v>
      </c>
      <c r="E294" s="44"/>
      <c r="F294" s="44"/>
      <c r="G294" s="41">
        <f t="shared" si="24"/>
        <v>655</v>
      </c>
      <c r="H294" s="45">
        <f t="shared" si="23"/>
        <v>2</v>
      </c>
      <c r="I294" s="47" t="s">
        <v>351</v>
      </c>
      <c r="J294" s="48" t="s">
        <v>10</v>
      </c>
      <c r="K294" s="41">
        <f t="shared" si="25"/>
        <v>656</v>
      </c>
    </row>
    <row r="295" spans="1:12" s="41" customFormat="1">
      <c r="D295" s="51" t="s">
        <v>397</v>
      </c>
      <c r="E295" s="44"/>
      <c r="F295" s="44"/>
      <c r="G295" s="41">
        <f t="shared" si="24"/>
        <v>657</v>
      </c>
      <c r="H295" s="45">
        <f t="shared" si="23"/>
        <v>2</v>
      </c>
      <c r="I295" s="47" t="s">
        <v>351</v>
      </c>
      <c r="J295" s="48" t="s">
        <v>10</v>
      </c>
      <c r="K295" s="41">
        <f t="shared" si="25"/>
        <v>658</v>
      </c>
    </row>
    <row r="296" spans="1:12" s="41" customFormat="1">
      <c r="D296" s="51" t="s">
        <v>396</v>
      </c>
      <c r="E296" s="44"/>
      <c r="F296" s="44"/>
      <c r="G296" s="41">
        <f t="shared" si="24"/>
        <v>659</v>
      </c>
      <c r="H296" s="45">
        <f t="shared" si="23"/>
        <v>2</v>
      </c>
      <c r="I296" s="47" t="s">
        <v>351</v>
      </c>
      <c r="J296" s="48" t="s">
        <v>10</v>
      </c>
      <c r="K296" s="41">
        <f t="shared" si="25"/>
        <v>660</v>
      </c>
    </row>
    <row r="297" spans="1:12" s="41" customFormat="1">
      <c r="D297" s="51" t="s">
        <v>395</v>
      </c>
      <c r="E297" s="44"/>
      <c r="F297" s="44"/>
      <c r="G297" s="41">
        <f t="shared" si="24"/>
        <v>661</v>
      </c>
      <c r="H297" s="45">
        <f t="shared" si="23"/>
        <v>2</v>
      </c>
      <c r="I297" s="47" t="s">
        <v>351</v>
      </c>
      <c r="J297" s="48" t="s">
        <v>10</v>
      </c>
      <c r="K297" s="41">
        <f t="shared" si="25"/>
        <v>662</v>
      </c>
    </row>
    <row r="298" spans="1:12" s="41" customFormat="1">
      <c r="D298" s="51" t="s">
        <v>394</v>
      </c>
      <c r="E298" s="44"/>
      <c r="F298" s="44"/>
      <c r="G298" s="41">
        <f t="shared" si="24"/>
        <v>663</v>
      </c>
      <c r="H298" s="45">
        <f t="shared" si="23"/>
        <v>2</v>
      </c>
      <c r="I298" s="47" t="s">
        <v>351</v>
      </c>
      <c r="J298" s="48" t="s">
        <v>33</v>
      </c>
      <c r="K298" s="41">
        <f t="shared" si="25"/>
        <v>664</v>
      </c>
    </row>
    <row r="299" spans="1:12" s="41" customFormat="1">
      <c r="D299" s="51" t="s">
        <v>393</v>
      </c>
      <c r="E299" s="44"/>
      <c r="F299" s="44"/>
      <c r="G299" s="41">
        <f t="shared" si="24"/>
        <v>665</v>
      </c>
      <c r="H299" s="45">
        <f t="shared" si="23"/>
        <v>2</v>
      </c>
      <c r="I299" s="47" t="s">
        <v>351</v>
      </c>
      <c r="J299" s="48" t="s">
        <v>33</v>
      </c>
      <c r="K299" s="41">
        <f t="shared" si="25"/>
        <v>666</v>
      </c>
    </row>
    <row r="300" spans="1:12" s="41" customFormat="1">
      <c r="D300" s="51" t="s">
        <v>392</v>
      </c>
      <c r="E300" s="44"/>
      <c r="F300" s="44"/>
      <c r="G300" s="41">
        <f t="shared" si="24"/>
        <v>667</v>
      </c>
      <c r="H300" s="45">
        <f t="shared" si="23"/>
        <v>2</v>
      </c>
      <c r="I300" s="47" t="s">
        <v>351</v>
      </c>
      <c r="J300" s="48" t="s">
        <v>33</v>
      </c>
      <c r="K300" s="41">
        <f t="shared" si="25"/>
        <v>668</v>
      </c>
    </row>
    <row r="301" spans="1:12" s="41" customFormat="1">
      <c r="D301" s="51" t="s">
        <v>1242</v>
      </c>
      <c r="E301" s="44"/>
      <c r="F301" s="44"/>
      <c r="G301" s="41">
        <f t="shared" si="24"/>
        <v>669</v>
      </c>
      <c r="H301" s="45">
        <f t="shared" si="23"/>
        <v>2</v>
      </c>
      <c r="I301" s="47" t="s">
        <v>351</v>
      </c>
      <c r="J301" s="48" t="s">
        <v>10</v>
      </c>
      <c r="K301" s="41">
        <f t="shared" si="25"/>
        <v>670</v>
      </c>
    </row>
    <row r="302" spans="1:12" s="41" customFormat="1">
      <c r="D302" s="51" t="s">
        <v>1241</v>
      </c>
      <c r="E302" s="44"/>
      <c r="F302" s="44"/>
      <c r="G302" s="41">
        <f t="shared" si="24"/>
        <v>671</v>
      </c>
      <c r="H302" s="45">
        <f t="shared" si="23"/>
        <v>2</v>
      </c>
      <c r="I302" s="47" t="s">
        <v>351</v>
      </c>
      <c r="J302" s="48" t="s">
        <v>10</v>
      </c>
      <c r="K302" s="41">
        <f t="shared" si="25"/>
        <v>672</v>
      </c>
    </row>
    <row r="303" spans="1:12" s="41" customFormat="1">
      <c r="D303" s="51" t="s">
        <v>1240</v>
      </c>
      <c r="E303" s="44"/>
      <c r="F303" s="44"/>
      <c r="G303" s="41">
        <f t="shared" si="24"/>
        <v>673</v>
      </c>
      <c r="H303" s="45">
        <f t="shared" si="23"/>
        <v>2</v>
      </c>
      <c r="I303" s="47" t="s">
        <v>351</v>
      </c>
      <c r="J303" s="48" t="s">
        <v>33</v>
      </c>
      <c r="K303" s="41">
        <f t="shared" si="25"/>
        <v>674</v>
      </c>
    </row>
    <row r="304" spans="1:12" s="41" customFormat="1">
      <c r="D304" s="51" t="s">
        <v>1239</v>
      </c>
      <c r="E304" s="44"/>
      <c r="F304" s="44"/>
      <c r="G304" s="41">
        <f t="shared" si="24"/>
        <v>675</v>
      </c>
      <c r="H304" s="45">
        <f t="shared" si="23"/>
        <v>2</v>
      </c>
      <c r="I304" s="47" t="s">
        <v>351</v>
      </c>
      <c r="J304" s="48" t="s">
        <v>33</v>
      </c>
      <c r="K304" s="41">
        <f t="shared" si="25"/>
        <v>676</v>
      </c>
    </row>
    <row r="305" spans="4:11" s="41" customFormat="1">
      <c r="D305" s="51" t="s">
        <v>388</v>
      </c>
      <c r="E305" s="44"/>
      <c r="F305" s="44"/>
      <c r="G305" s="41">
        <f t="shared" si="24"/>
        <v>677</v>
      </c>
      <c r="H305" s="45">
        <f t="shared" si="23"/>
        <v>2</v>
      </c>
      <c r="I305" s="47" t="s">
        <v>351</v>
      </c>
      <c r="J305" s="48" t="s">
        <v>18</v>
      </c>
      <c r="K305" s="41">
        <f t="shared" si="25"/>
        <v>678</v>
      </c>
    </row>
    <row r="306" spans="4:11" s="41" customFormat="1">
      <c r="D306" s="51" t="s">
        <v>387</v>
      </c>
      <c r="E306" s="44"/>
      <c r="F306" s="44"/>
      <c r="G306" s="41">
        <f t="shared" si="24"/>
        <v>679</v>
      </c>
      <c r="H306" s="45">
        <f t="shared" si="23"/>
        <v>2</v>
      </c>
      <c r="I306" s="47" t="s">
        <v>351</v>
      </c>
      <c r="J306" s="48" t="s">
        <v>18</v>
      </c>
      <c r="K306" s="41">
        <f t="shared" si="25"/>
        <v>680</v>
      </c>
    </row>
    <row r="307" spans="4:11" s="41" customFormat="1">
      <c r="D307" s="51" t="s">
        <v>386</v>
      </c>
      <c r="E307" s="44"/>
      <c r="F307" s="44"/>
      <c r="G307" s="41">
        <f t="shared" si="24"/>
        <v>681</v>
      </c>
      <c r="H307" s="45">
        <f t="shared" si="23"/>
        <v>2</v>
      </c>
      <c r="I307" s="47" t="s">
        <v>351</v>
      </c>
      <c r="J307" s="48" t="s">
        <v>18</v>
      </c>
      <c r="K307" s="41">
        <f t="shared" si="25"/>
        <v>682</v>
      </c>
    </row>
    <row r="308" spans="4:11" s="41" customFormat="1">
      <c r="D308" s="51" t="s">
        <v>1238</v>
      </c>
      <c r="E308" s="44"/>
      <c r="F308" s="44"/>
      <c r="G308" s="41">
        <f t="shared" si="24"/>
        <v>683</v>
      </c>
      <c r="H308" s="45">
        <f t="shared" si="23"/>
        <v>2</v>
      </c>
      <c r="I308" s="47" t="s">
        <v>351</v>
      </c>
      <c r="J308" s="48" t="s">
        <v>18</v>
      </c>
      <c r="K308" s="41">
        <f t="shared" si="25"/>
        <v>684</v>
      </c>
    </row>
    <row r="309" spans="4:11" s="41" customFormat="1">
      <c r="D309" s="51" t="s">
        <v>385</v>
      </c>
      <c r="E309" s="44"/>
      <c r="F309" s="44"/>
      <c r="G309" s="41">
        <f t="shared" si="24"/>
        <v>685</v>
      </c>
      <c r="H309" s="45">
        <f t="shared" si="23"/>
        <v>2</v>
      </c>
      <c r="I309" s="47" t="s">
        <v>351</v>
      </c>
      <c r="J309" s="48" t="s">
        <v>312</v>
      </c>
      <c r="K309" s="41">
        <f t="shared" si="25"/>
        <v>686</v>
      </c>
    </row>
    <row r="310" spans="4:11" s="41" customFormat="1">
      <c r="D310" s="51" t="s">
        <v>384</v>
      </c>
      <c r="E310" s="44"/>
      <c r="F310" s="44"/>
      <c r="G310" s="41">
        <f t="shared" si="24"/>
        <v>687</v>
      </c>
      <c r="H310" s="45">
        <f t="shared" si="23"/>
        <v>2</v>
      </c>
      <c r="I310" s="47" t="s">
        <v>351</v>
      </c>
      <c r="J310" s="48" t="s">
        <v>312</v>
      </c>
      <c r="K310" s="41">
        <f t="shared" si="25"/>
        <v>688</v>
      </c>
    </row>
    <row r="311" spans="4:11" s="41" customFormat="1">
      <c r="D311" s="51" t="s">
        <v>383</v>
      </c>
      <c r="E311" s="44"/>
      <c r="F311" s="44"/>
      <c r="G311" s="41">
        <f t="shared" si="24"/>
        <v>689</v>
      </c>
      <c r="H311" s="45">
        <f t="shared" si="23"/>
        <v>2</v>
      </c>
      <c r="I311" s="47" t="s">
        <v>351</v>
      </c>
      <c r="J311" s="48" t="s">
        <v>312</v>
      </c>
      <c r="K311" s="41">
        <f t="shared" si="25"/>
        <v>690</v>
      </c>
    </row>
    <row r="312" spans="4:11" s="41" customFormat="1">
      <c r="D312" s="51" t="s">
        <v>1237</v>
      </c>
      <c r="E312" s="44"/>
      <c r="F312" s="44"/>
      <c r="G312" s="41">
        <f t="shared" si="24"/>
        <v>691</v>
      </c>
      <c r="H312" s="45">
        <f t="shared" si="23"/>
        <v>2</v>
      </c>
      <c r="I312" s="47" t="s">
        <v>351</v>
      </c>
      <c r="J312" s="48" t="s">
        <v>312</v>
      </c>
      <c r="K312" s="41">
        <f t="shared" si="25"/>
        <v>692</v>
      </c>
    </row>
    <row r="313" spans="4:11" s="41" customFormat="1">
      <c r="D313" s="51" t="s">
        <v>391</v>
      </c>
      <c r="E313" s="44"/>
      <c r="F313" s="44"/>
      <c r="G313" s="41">
        <f t="shared" si="24"/>
        <v>693</v>
      </c>
      <c r="H313" s="45">
        <f t="shared" si="23"/>
        <v>2</v>
      </c>
      <c r="I313" s="47" t="s">
        <v>351</v>
      </c>
      <c r="J313" s="48" t="s">
        <v>21</v>
      </c>
      <c r="K313" s="41">
        <f t="shared" si="25"/>
        <v>694</v>
      </c>
    </row>
    <row r="314" spans="4:11" s="41" customFormat="1">
      <c r="D314" s="51" t="s">
        <v>390</v>
      </c>
      <c r="E314" s="44"/>
      <c r="F314" s="44"/>
      <c r="G314" s="41">
        <f t="shared" si="24"/>
        <v>695</v>
      </c>
      <c r="H314" s="45">
        <f t="shared" si="23"/>
        <v>2</v>
      </c>
      <c r="I314" s="47" t="s">
        <v>351</v>
      </c>
      <c r="J314" s="48" t="s">
        <v>21</v>
      </c>
      <c r="K314" s="41">
        <f t="shared" si="25"/>
        <v>696</v>
      </c>
    </row>
    <row r="315" spans="4:11" s="41" customFormat="1">
      <c r="D315" s="51" t="s">
        <v>389</v>
      </c>
      <c r="E315" s="44"/>
      <c r="F315" s="44"/>
      <c r="G315" s="41">
        <f t="shared" si="24"/>
        <v>697</v>
      </c>
      <c r="H315" s="45">
        <f t="shared" si="23"/>
        <v>2</v>
      </c>
      <c r="I315" s="47" t="s">
        <v>351</v>
      </c>
      <c r="J315" s="48" t="s">
        <v>21</v>
      </c>
      <c r="K315" s="41">
        <f t="shared" si="25"/>
        <v>698</v>
      </c>
    </row>
    <row r="316" spans="4:11" s="41" customFormat="1">
      <c r="D316" s="51" t="s">
        <v>1236</v>
      </c>
      <c r="E316" s="44"/>
      <c r="F316" s="44"/>
      <c r="G316" s="41">
        <f t="shared" si="24"/>
        <v>699</v>
      </c>
      <c r="H316" s="45">
        <f t="shared" si="23"/>
        <v>2</v>
      </c>
      <c r="I316" s="47" t="s">
        <v>351</v>
      </c>
      <c r="J316" s="48" t="s">
        <v>21</v>
      </c>
      <c r="K316" s="41">
        <f t="shared" si="25"/>
        <v>700</v>
      </c>
    </row>
    <row r="317" spans="4:11" s="41" customFormat="1">
      <c r="D317" s="51" t="s">
        <v>376</v>
      </c>
      <c r="E317" s="44"/>
      <c r="F317" s="44"/>
      <c r="G317" s="41">
        <f t="shared" si="24"/>
        <v>701</v>
      </c>
      <c r="H317" s="45">
        <f t="shared" si="23"/>
        <v>2</v>
      </c>
      <c r="I317" s="47" t="s">
        <v>351</v>
      </c>
      <c r="J317" s="48" t="s">
        <v>303</v>
      </c>
      <c r="K317" s="41">
        <f t="shared" si="25"/>
        <v>702</v>
      </c>
    </row>
    <row r="318" spans="4:11" s="41" customFormat="1">
      <c r="D318" s="51" t="s">
        <v>375</v>
      </c>
      <c r="E318" s="44"/>
      <c r="F318" s="44"/>
      <c r="G318" s="41">
        <f t="shared" si="24"/>
        <v>703</v>
      </c>
      <c r="H318" s="45">
        <f t="shared" si="23"/>
        <v>2</v>
      </c>
      <c r="I318" s="47" t="s">
        <v>351</v>
      </c>
      <c r="J318" s="48" t="s">
        <v>303</v>
      </c>
      <c r="K318" s="41">
        <f t="shared" si="25"/>
        <v>704</v>
      </c>
    </row>
    <row r="319" spans="4:11" s="41" customFormat="1">
      <c r="D319" s="51" t="s">
        <v>374</v>
      </c>
      <c r="E319" s="44"/>
      <c r="F319" s="44"/>
      <c r="G319" s="41">
        <f t="shared" si="24"/>
        <v>705</v>
      </c>
      <c r="H319" s="45">
        <f t="shared" si="23"/>
        <v>2</v>
      </c>
      <c r="I319" s="47" t="s">
        <v>351</v>
      </c>
      <c r="J319" s="48" t="s">
        <v>303</v>
      </c>
      <c r="K319" s="41">
        <f t="shared" si="25"/>
        <v>706</v>
      </c>
    </row>
    <row r="320" spans="4:11" s="41" customFormat="1">
      <c r="D320" s="51" t="s">
        <v>373</v>
      </c>
      <c r="E320" s="44"/>
      <c r="F320" s="44"/>
      <c r="G320" s="41">
        <f t="shared" si="24"/>
        <v>707</v>
      </c>
      <c r="H320" s="45">
        <f t="shared" si="23"/>
        <v>2</v>
      </c>
      <c r="I320" s="47" t="s">
        <v>351</v>
      </c>
      <c r="J320" s="48" t="s">
        <v>303</v>
      </c>
      <c r="K320" s="41">
        <f t="shared" si="25"/>
        <v>708</v>
      </c>
    </row>
    <row r="321" spans="4:11" s="41" customFormat="1">
      <c r="D321" s="51" t="s">
        <v>379</v>
      </c>
      <c r="E321" s="44"/>
      <c r="F321" s="44"/>
      <c r="G321" s="41">
        <f t="shared" si="24"/>
        <v>709</v>
      </c>
      <c r="H321" s="45">
        <f t="shared" si="23"/>
        <v>2</v>
      </c>
      <c r="I321" s="47" t="s">
        <v>351</v>
      </c>
      <c r="J321" s="48" t="s">
        <v>303</v>
      </c>
      <c r="K321" s="41">
        <f t="shared" si="25"/>
        <v>710</v>
      </c>
    </row>
    <row r="322" spans="4:11" s="41" customFormat="1">
      <c r="D322" s="51" t="s">
        <v>378</v>
      </c>
      <c r="E322" s="44"/>
      <c r="F322" s="44"/>
      <c r="G322" s="41">
        <f t="shared" si="24"/>
        <v>711</v>
      </c>
      <c r="H322" s="45">
        <f t="shared" si="23"/>
        <v>2</v>
      </c>
      <c r="I322" s="47" t="s">
        <v>351</v>
      </c>
      <c r="J322" s="48" t="s">
        <v>303</v>
      </c>
      <c r="K322" s="41">
        <f t="shared" si="25"/>
        <v>712</v>
      </c>
    </row>
    <row r="323" spans="4:11" s="41" customFormat="1">
      <c r="D323" s="51" t="s">
        <v>377</v>
      </c>
      <c r="E323" s="44"/>
      <c r="F323" s="44"/>
      <c r="G323" s="41">
        <f t="shared" si="24"/>
        <v>713</v>
      </c>
      <c r="H323" s="45">
        <f t="shared" si="23"/>
        <v>2</v>
      </c>
      <c r="I323" s="47" t="s">
        <v>351</v>
      </c>
      <c r="J323" s="48" t="s">
        <v>303</v>
      </c>
      <c r="K323" s="41">
        <f t="shared" si="25"/>
        <v>714</v>
      </c>
    </row>
    <row r="324" spans="4:11" s="41" customFormat="1">
      <c r="D324" s="51" t="s">
        <v>1235</v>
      </c>
      <c r="E324" s="44"/>
      <c r="F324" s="44"/>
      <c r="G324" s="41">
        <f t="shared" si="24"/>
        <v>715</v>
      </c>
      <c r="H324" s="45">
        <f t="shared" ref="H324:H346" si="26">K324-G324+1</f>
        <v>2</v>
      </c>
      <c r="I324" s="47" t="s">
        <v>351</v>
      </c>
      <c r="J324" s="48" t="s">
        <v>303</v>
      </c>
      <c r="K324" s="41">
        <f t="shared" si="25"/>
        <v>716</v>
      </c>
    </row>
    <row r="325" spans="4:11" s="41" customFormat="1">
      <c r="D325" s="51" t="s">
        <v>364</v>
      </c>
      <c r="E325" s="44"/>
      <c r="F325" s="44"/>
      <c r="G325" s="41">
        <f t="shared" ref="G325:G346" si="27">G324+2</f>
        <v>717</v>
      </c>
      <c r="H325" s="45">
        <f t="shared" si="26"/>
        <v>2</v>
      </c>
      <c r="I325" s="47" t="s">
        <v>351</v>
      </c>
      <c r="J325" s="48" t="s">
        <v>1290</v>
      </c>
      <c r="K325" s="41">
        <f t="shared" ref="K325:K346" si="28">K324 + 2</f>
        <v>718</v>
      </c>
    </row>
    <row r="326" spans="4:11" s="41" customFormat="1">
      <c r="D326" s="51" t="s">
        <v>363</v>
      </c>
      <c r="E326" s="44"/>
      <c r="F326" s="44"/>
      <c r="G326" s="41">
        <f t="shared" si="27"/>
        <v>719</v>
      </c>
      <c r="H326" s="45">
        <f t="shared" si="26"/>
        <v>2</v>
      </c>
      <c r="I326" s="47" t="s">
        <v>351</v>
      </c>
      <c r="J326" s="48" t="s">
        <v>1290</v>
      </c>
      <c r="K326" s="41">
        <f t="shared" si="28"/>
        <v>720</v>
      </c>
    </row>
    <row r="327" spans="4:11" s="41" customFormat="1">
      <c r="D327" s="51" t="s">
        <v>362</v>
      </c>
      <c r="E327" s="44"/>
      <c r="F327" s="44"/>
      <c r="G327" s="41">
        <f t="shared" si="27"/>
        <v>721</v>
      </c>
      <c r="H327" s="45">
        <f t="shared" si="26"/>
        <v>2</v>
      </c>
      <c r="I327" s="47" t="s">
        <v>351</v>
      </c>
      <c r="J327" s="48" t="s">
        <v>1290</v>
      </c>
      <c r="K327" s="41">
        <f t="shared" si="28"/>
        <v>722</v>
      </c>
    </row>
    <row r="328" spans="4:11" s="41" customFormat="1">
      <c r="D328" s="51" t="s">
        <v>361</v>
      </c>
      <c r="E328" s="44"/>
      <c r="F328" s="44"/>
      <c r="G328" s="41">
        <f t="shared" si="27"/>
        <v>723</v>
      </c>
      <c r="H328" s="45">
        <f t="shared" si="26"/>
        <v>2</v>
      </c>
      <c r="I328" s="47" t="s">
        <v>351</v>
      </c>
      <c r="J328" s="48" t="s">
        <v>1290</v>
      </c>
      <c r="K328" s="41">
        <f t="shared" si="28"/>
        <v>724</v>
      </c>
    </row>
    <row r="329" spans="4:11" s="41" customFormat="1">
      <c r="D329" s="51" t="s">
        <v>1234</v>
      </c>
      <c r="E329" s="44"/>
      <c r="F329" s="44"/>
      <c r="G329" s="41">
        <f t="shared" si="27"/>
        <v>725</v>
      </c>
      <c r="H329" s="45">
        <f t="shared" si="26"/>
        <v>2</v>
      </c>
      <c r="I329" s="47" t="s">
        <v>351</v>
      </c>
      <c r="J329" s="48" t="s">
        <v>11</v>
      </c>
      <c r="K329" s="41">
        <f t="shared" si="28"/>
        <v>726</v>
      </c>
    </row>
    <row r="330" spans="4:11" s="41" customFormat="1">
      <c r="D330" s="51" t="s">
        <v>360</v>
      </c>
      <c r="E330" s="44"/>
      <c r="F330" s="44"/>
      <c r="G330" s="41">
        <f t="shared" si="27"/>
        <v>727</v>
      </c>
      <c r="H330" s="45">
        <f t="shared" si="26"/>
        <v>2</v>
      </c>
      <c r="I330" s="47" t="s">
        <v>351</v>
      </c>
      <c r="J330" s="48" t="s">
        <v>358</v>
      </c>
      <c r="K330" s="41">
        <f t="shared" si="28"/>
        <v>728</v>
      </c>
    </row>
    <row r="331" spans="4:11" s="41" customFormat="1">
      <c r="D331" s="51" t="s">
        <v>359</v>
      </c>
      <c r="E331" s="44"/>
      <c r="F331" s="44"/>
      <c r="G331" s="41">
        <f t="shared" si="27"/>
        <v>729</v>
      </c>
      <c r="H331" s="45">
        <f t="shared" si="26"/>
        <v>2</v>
      </c>
      <c r="I331" s="47" t="s">
        <v>351</v>
      </c>
      <c r="J331" s="48" t="s">
        <v>358</v>
      </c>
      <c r="K331" s="41">
        <f t="shared" si="28"/>
        <v>730</v>
      </c>
    </row>
    <row r="332" spans="4:11" s="41" customFormat="1">
      <c r="D332" s="51" t="s">
        <v>1233</v>
      </c>
      <c r="E332" s="44"/>
      <c r="F332" s="44"/>
      <c r="G332" s="41">
        <f t="shared" si="27"/>
        <v>731</v>
      </c>
      <c r="H332" s="45">
        <f t="shared" si="26"/>
        <v>2</v>
      </c>
      <c r="I332" s="47" t="s">
        <v>351</v>
      </c>
      <c r="J332" s="48" t="s">
        <v>11</v>
      </c>
      <c r="K332" s="41">
        <f t="shared" si="28"/>
        <v>732</v>
      </c>
    </row>
    <row r="333" spans="4:11" s="41" customFormat="1">
      <c r="D333" s="51" t="s">
        <v>357</v>
      </c>
      <c r="E333" s="44"/>
      <c r="F333" s="44"/>
      <c r="G333" s="41">
        <f t="shared" si="27"/>
        <v>733</v>
      </c>
      <c r="H333" s="45">
        <f t="shared" si="26"/>
        <v>2</v>
      </c>
      <c r="I333" s="47" t="s">
        <v>351</v>
      </c>
      <c r="J333" s="48" t="s">
        <v>303</v>
      </c>
      <c r="K333" s="41">
        <f t="shared" si="28"/>
        <v>734</v>
      </c>
    </row>
    <row r="334" spans="4:11" s="41" customFormat="1">
      <c r="D334" s="51" t="s">
        <v>356</v>
      </c>
      <c r="E334" s="44"/>
      <c r="F334" s="44"/>
      <c r="G334" s="41">
        <f t="shared" si="27"/>
        <v>735</v>
      </c>
      <c r="H334" s="45">
        <f t="shared" si="26"/>
        <v>2</v>
      </c>
      <c r="I334" s="47" t="s">
        <v>351</v>
      </c>
      <c r="J334" s="48" t="s">
        <v>303</v>
      </c>
      <c r="K334" s="41">
        <f t="shared" si="28"/>
        <v>736</v>
      </c>
    </row>
    <row r="335" spans="4:11" s="41" customFormat="1">
      <c r="D335" s="51" t="s">
        <v>355</v>
      </c>
      <c r="E335" s="44"/>
      <c r="F335" s="44"/>
      <c r="G335" s="41">
        <f t="shared" si="27"/>
        <v>737</v>
      </c>
      <c r="H335" s="45">
        <f t="shared" si="26"/>
        <v>2</v>
      </c>
      <c r="I335" s="47" t="s">
        <v>351</v>
      </c>
      <c r="J335" s="48" t="s">
        <v>303</v>
      </c>
      <c r="K335" s="41">
        <f t="shared" si="28"/>
        <v>738</v>
      </c>
    </row>
    <row r="336" spans="4:11" s="41" customFormat="1">
      <c r="D336" s="51" t="s">
        <v>371</v>
      </c>
      <c r="E336" s="44"/>
      <c r="F336" s="44"/>
      <c r="G336" s="41">
        <f t="shared" si="27"/>
        <v>739</v>
      </c>
      <c r="H336" s="45">
        <f t="shared" si="26"/>
        <v>2</v>
      </c>
      <c r="I336" s="47" t="s">
        <v>351</v>
      </c>
      <c r="J336" s="48" t="s">
        <v>303</v>
      </c>
      <c r="K336" s="41">
        <f t="shared" si="28"/>
        <v>740</v>
      </c>
    </row>
    <row r="337" spans="1:12" s="41" customFormat="1">
      <c r="D337" s="51" t="s">
        <v>370</v>
      </c>
      <c r="E337" s="44"/>
      <c r="F337" s="44"/>
      <c r="G337" s="41">
        <f t="shared" si="27"/>
        <v>741</v>
      </c>
      <c r="H337" s="45">
        <f t="shared" si="26"/>
        <v>2</v>
      </c>
      <c r="I337" s="47" t="s">
        <v>351</v>
      </c>
      <c r="J337" s="48" t="s">
        <v>303</v>
      </c>
      <c r="K337" s="41">
        <f t="shared" si="28"/>
        <v>742</v>
      </c>
    </row>
    <row r="338" spans="1:12" s="41" customFormat="1">
      <c r="D338" s="51" t="s">
        <v>369</v>
      </c>
      <c r="E338" s="44"/>
      <c r="F338" s="44"/>
      <c r="G338" s="41">
        <f t="shared" si="27"/>
        <v>743</v>
      </c>
      <c r="H338" s="45">
        <f t="shared" si="26"/>
        <v>2</v>
      </c>
      <c r="I338" s="47" t="s">
        <v>351</v>
      </c>
      <c r="J338" s="48" t="s">
        <v>303</v>
      </c>
      <c r="K338" s="41">
        <f t="shared" si="28"/>
        <v>744</v>
      </c>
    </row>
    <row r="339" spans="1:12" s="41" customFormat="1">
      <c r="D339" s="51" t="s">
        <v>368</v>
      </c>
      <c r="E339" s="44"/>
      <c r="F339" s="44"/>
      <c r="G339" s="41">
        <f t="shared" si="27"/>
        <v>745</v>
      </c>
      <c r="H339" s="45">
        <f t="shared" si="26"/>
        <v>2</v>
      </c>
      <c r="I339" s="47" t="s">
        <v>351</v>
      </c>
      <c r="J339" s="48" t="s">
        <v>1290</v>
      </c>
      <c r="K339" s="41">
        <f t="shared" si="28"/>
        <v>746</v>
      </c>
    </row>
    <row r="340" spans="1:12" s="41" customFormat="1">
      <c r="D340" s="51" t="s">
        <v>367</v>
      </c>
      <c r="E340" s="44"/>
      <c r="F340" s="44"/>
      <c r="G340" s="41">
        <f t="shared" si="27"/>
        <v>747</v>
      </c>
      <c r="H340" s="45">
        <f t="shared" si="26"/>
        <v>2</v>
      </c>
      <c r="I340" s="47" t="s">
        <v>351</v>
      </c>
      <c r="J340" s="48" t="s">
        <v>1290</v>
      </c>
      <c r="K340" s="41">
        <f t="shared" si="28"/>
        <v>748</v>
      </c>
    </row>
    <row r="341" spans="1:12" s="41" customFormat="1">
      <c r="D341" s="51" t="s">
        <v>366</v>
      </c>
      <c r="E341" s="44"/>
      <c r="F341" s="44"/>
      <c r="G341" s="41">
        <f t="shared" si="27"/>
        <v>749</v>
      </c>
      <c r="H341" s="45">
        <f t="shared" si="26"/>
        <v>2</v>
      </c>
      <c r="I341" s="47" t="s">
        <v>351</v>
      </c>
      <c r="J341" s="48" t="s">
        <v>1290</v>
      </c>
      <c r="K341" s="41">
        <f t="shared" si="28"/>
        <v>750</v>
      </c>
    </row>
    <row r="342" spans="1:12" s="41" customFormat="1">
      <c r="D342" s="51" t="s">
        <v>365</v>
      </c>
      <c r="E342" s="44"/>
      <c r="F342" s="44"/>
      <c r="G342" s="41">
        <f t="shared" si="27"/>
        <v>751</v>
      </c>
      <c r="H342" s="45">
        <f t="shared" si="26"/>
        <v>2</v>
      </c>
      <c r="I342" s="47" t="s">
        <v>351</v>
      </c>
      <c r="J342" s="48" t="s">
        <v>1290</v>
      </c>
      <c r="K342" s="41">
        <f t="shared" si="28"/>
        <v>752</v>
      </c>
    </row>
    <row r="343" spans="1:12" s="41" customFormat="1">
      <c r="D343" s="51" t="s">
        <v>382</v>
      </c>
      <c r="E343" s="44"/>
      <c r="F343" s="44"/>
      <c r="G343" s="41">
        <f t="shared" si="27"/>
        <v>753</v>
      </c>
      <c r="H343" s="45">
        <f t="shared" si="26"/>
        <v>2</v>
      </c>
      <c r="I343" s="47" t="s">
        <v>351</v>
      </c>
      <c r="J343" s="48" t="s">
        <v>312</v>
      </c>
      <c r="K343" s="41">
        <f t="shared" si="28"/>
        <v>754</v>
      </c>
    </row>
    <row r="344" spans="1:12" s="41" customFormat="1">
      <c r="D344" s="51" t="s">
        <v>381</v>
      </c>
      <c r="E344" s="44"/>
      <c r="F344" s="44"/>
      <c r="G344" s="41">
        <f t="shared" si="27"/>
        <v>755</v>
      </c>
      <c r="H344" s="45">
        <f t="shared" si="26"/>
        <v>2</v>
      </c>
      <c r="I344" s="47" t="s">
        <v>351</v>
      </c>
      <c r="J344" s="48" t="s">
        <v>312</v>
      </c>
      <c r="K344" s="41">
        <f t="shared" si="28"/>
        <v>756</v>
      </c>
    </row>
    <row r="345" spans="1:12" s="41" customFormat="1">
      <c r="D345" s="51" t="s">
        <v>380</v>
      </c>
      <c r="E345" s="44"/>
      <c r="F345" s="44"/>
      <c r="G345" s="41">
        <f t="shared" si="27"/>
        <v>757</v>
      </c>
      <c r="H345" s="45">
        <f t="shared" si="26"/>
        <v>2</v>
      </c>
      <c r="I345" s="47" t="s">
        <v>351</v>
      </c>
      <c r="J345" s="48" t="s">
        <v>312</v>
      </c>
      <c r="K345" s="41">
        <f t="shared" si="28"/>
        <v>758</v>
      </c>
    </row>
    <row r="346" spans="1:12" s="41" customFormat="1">
      <c r="D346" s="51" t="s">
        <v>318</v>
      </c>
      <c r="E346" s="44"/>
      <c r="F346" s="44"/>
      <c r="G346" s="41">
        <f t="shared" si="27"/>
        <v>759</v>
      </c>
      <c r="H346" s="45">
        <f t="shared" si="26"/>
        <v>2</v>
      </c>
      <c r="I346" s="47" t="s">
        <v>351</v>
      </c>
      <c r="J346" s="48" t="s">
        <v>312</v>
      </c>
      <c r="K346" s="41">
        <f t="shared" si="28"/>
        <v>760</v>
      </c>
    </row>
    <row r="347" spans="1:12" s="41" customFormat="1">
      <c r="D347" s="51"/>
      <c r="E347" s="44"/>
      <c r="F347" s="44"/>
      <c r="H347" s="44"/>
      <c r="I347" s="44"/>
      <c r="J347" s="44"/>
    </row>
    <row r="348" spans="1:12" s="43" customFormat="1">
      <c r="A348" s="42"/>
      <c r="B348" s="42" t="s">
        <v>1314</v>
      </c>
      <c r="C348" s="42"/>
      <c r="D348" s="54"/>
      <c r="E348" s="46"/>
      <c r="F348" s="46"/>
      <c r="G348" s="42"/>
      <c r="H348" s="45"/>
      <c r="I348" s="46"/>
      <c r="J348" s="49"/>
      <c r="K348" s="42"/>
      <c r="L348" s="42"/>
    </row>
    <row r="349" spans="1:12" s="41" customFormat="1" ht="135">
      <c r="B349" s="41" t="s">
        <v>311</v>
      </c>
      <c r="D349" s="51" t="s">
        <v>311</v>
      </c>
      <c r="E349" s="44"/>
      <c r="F349" s="44"/>
      <c r="G349" s="41">
        <v>801</v>
      </c>
      <c r="H349" s="45">
        <f>K349-G349+1</f>
        <v>2</v>
      </c>
      <c r="I349" s="47" t="s">
        <v>351</v>
      </c>
      <c r="J349" s="50" t="s">
        <v>1232</v>
      </c>
      <c r="K349" s="41">
        <v>802</v>
      </c>
    </row>
    <row r="350" spans="1:12" s="41" customFormat="1">
      <c r="D350" s="51"/>
      <c r="E350" s="44"/>
      <c r="F350" s="44"/>
      <c r="H350" s="44"/>
      <c r="I350" s="44"/>
      <c r="J350" s="44"/>
    </row>
    <row r="351" spans="1:12" s="43" customFormat="1">
      <c r="A351" s="42"/>
      <c r="B351" s="42" t="s">
        <v>1315</v>
      </c>
      <c r="C351" s="42"/>
      <c r="D351" s="54"/>
      <c r="E351" s="46"/>
      <c r="F351" s="46"/>
      <c r="G351" s="42"/>
      <c r="H351" s="45"/>
      <c r="I351" s="46"/>
      <c r="J351" s="49"/>
      <c r="K351" s="42"/>
      <c r="L351" s="42"/>
    </row>
    <row r="352" spans="1:12" s="41" customFormat="1">
      <c r="B352" s="41" t="s">
        <v>1231</v>
      </c>
      <c r="D352" s="51"/>
      <c r="E352" s="44"/>
      <c r="F352" s="44"/>
      <c r="G352" s="41">
        <v>803</v>
      </c>
      <c r="H352" s="44"/>
      <c r="I352" s="44"/>
      <c r="J352" s="44"/>
      <c r="K352" s="41">
        <v>806</v>
      </c>
    </row>
    <row r="353" spans="2:11" s="41" customFormat="1">
      <c r="B353" s="41" t="s">
        <v>1230</v>
      </c>
      <c r="D353" s="51" t="s">
        <v>1230</v>
      </c>
      <c r="E353" s="44">
        <v>0</v>
      </c>
      <c r="F353" s="44"/>
      <c r="G353" s="41">
        <v>803</v>
      </c>
      <c r="H353" s="45">
        <f t="shared" ref="H353:H374" si="29">K353-G353+1</f>
        <v>1</v>
      </c>
      <c r="I353" s="44" t="s">
        <v>1283</v>
      </c>
      <c r="J353" s="44"/>
      <c r="K353" s="41">
        <v>803</v>
      </c>
    </row>
    <row r="354" spans="2:11" s="41" customFormat="1">
      <c r="B354" s="41" t="s">
        <v>1229</v>
      </c>
      <c r="D354" s="51" t="s">
        <v>1229</v>
      </c>
      <c r="E354" s="44">
        <v>2</v>
      </c>
      <c r="F354" s="44"/>
      <c r="G354" s="41">
        <v>803</v>
      </c>
      <c r="H354" s="45">
        <f t="shared" si="29"/>
        <v>1</v>
      </c>
      <c r="I354" s="44" t="s">
        <v>1283</v>
      </c>
      <c r="J354" s="44"/>
      <c r="K354" s="41">
        <v>803</v>
      </c>
    </row>
    <row r="355" spans="2:11" s="41" customFormat="1">
      <c r="B355" s="41" t="s">
        <v>1228</v>
      </c>
      <c r="D355" s="51" t="s">
        <v>1228</v>
      </c>
      <c r="E355" s="44">
        <v>4</v>
      </c>
      <c r="F355" s="44"/>
      <c r="G355" s="41">
        <v>803</v>
      </c>
      <c r="H355" s="45">
        <f t="shared" si="29"/>
        <v>1</v>
      </c>
      <c r="I355" s="44" t="s">
        <v>1283</v>
      </c>
      <c r="J355" s="44"/>
      <c r="K355" s="41">
        <v>803</v>
      </c>
    </row>
    <row r="356" spans="2:11" s="41" customFormat="1">
      <c r="B356" s="41" t="s">
        <v>1227</v>
      </c>
      <c r="D356" s="51" t="s">
        <v>1227</v>
      </c>
      <c r="E356" s="44">
        <v>6</v>
      </c>
      <c r="F356" s="44"/>
      <c r="G356" s="41">
        <v>803</v>
      </c>
      <c r="H356" s="45">
        <f t="shared" si="29"/>
        <v>1</v>
      </c>
      <c r="I356" s="44" t="s">
        <v>1283</v>
      </c>
      <c r="J356" s="44"/>
      <c r="K356" s="41">
        <v>803</v>
      </c>
    </row>
    <row r="357" spans="2:11" s="41" customFormat="1">
      <c r="B357" s="41" t="s">
        <v>1226</v>
      </c>
      <c r="D357" s="51" t="s">
        <v>1226</v>
      </c>
      <c r="E357" s="44">
        <v>8</v>
      </c>
      <c r="F357" s="44"/>
      <c r="G357" s="41">
        <v>803</v>
      </c>
      <c r="H357" s="45">
        <f t="shared" si="29"/>
        <v>1</v>
      </c>
      <c r="I357" s="44" t="s">
        <v>1283</v>
      </c>
      <c r="J357" s="44"/>
      <c r="K357" s="41">
        <v>803</v>
      </c>
    </row>
    <row r="358" spans="2:11" s="41" customFormat="1">
      <c r="B358" s="41" t="s">
        <v>1225</v>
      </c>
      <c r="D358" s="51" t="s">
        <v>1225</v>
      </c>
      <c r="E358" s="44">
        <v>10</v>
      </c>
      <c r="F358" s="44"/>
      <c r="G358" s="41">
        <v>803</v>
      </c>
      <c r="H358" s="45">
        <f t="shared" si="29"/>
        <v>1</v>
      </c>
      <c r="I358" s="44" t="s">
        <v>1283</v>
      </c>
      <c r="J358" s="44"/>
      <c r="K358" s="41">
        <v>803</v>
      </c>
    </row>
    <row r="359" spans="2:11" s="41" customFormat="1">
      <c r="B359" s="41" t="s">
        <v>1224</v>
      </c>
      <c r="D359" s="51" t="s">
        <v>1224</v>
      </c>
      <c r="E359" s="44">
        <v>12</v>
      </c>
      <c r="F359" s="44"/>
      <c r="G359" s="41">
        <v>803</v>
      </c>
      <c r="H359" s="45">
        <f t="shared" si="29"/>
        <v>1</v>
      </c>
      <c r="I359" s="44" t="s">
        <v>1283</v>
      </c>
      <c r="J359" s="44"/>
      <c r="K359" s="41">
        <v>803</v>
      </c>
    </row>
    <row r="360" spans="2:11" s="41" customFormat="1">
      <c r="B360" s="41" t="s">
        <v>1223</v>
      </c>
      <c r="D360" s="51" t="s">
        <v>1223</v>
      </c>
      <c r="E360" s="44">
        <v>14</v>
      </c>
      <c r="F360" s="44"/>
      <c r="G360" s="41">
        <v>803</v>
      </c>
      <c r="H360" s="45">
        <f t="shared" si="29"/>
        <v>1</v>
      </c>
      <c r="I360" s="44" t="s">
        <v>1283</v>
      </c>
      <c r="J360" s="44"/>
      <c r="K360" s="41">
        <v>803</v>
      </c>
    </row>
    <row r="361" spans="2:11" s="41" customFormat="1">
      <c r="B361" s="41" t="s">
        <v>310</v>
      </c>
      <c r="D361" s="51" t="s">
        <v>310</v>
      </c>
      <c r="E361" s="44">
        <v>0</v>
      </c>
      <c r="F361" s="44"/>
      <c r="G361" s="41">
        <v>804</v>
      </c>
      <c r="H361" s="45">
        <f t="shared" si="29"/>
        <v>1</v>
      </c>
      <c r="I361" s="44" t="s">
        <v>1283</v>
      </c>
      <c r="J361" s="44"/>
      <c r="K361" s="41">
        <v>804</v>
      </c>
    </row>
    <row r="362" spans="2:11" s="41" customFormat="1">
      <c r="B362" s="41" t="s">
        <v>1222</v>
      </c>
      <c r="D362" s="51" t="s">
        <v>1222</v>
      </c>
      <c r="E362" s="44">
        <v>2</v>
      </c>
      <c r="F362" s="44"/>
      <c r="G362" s="41">
        <v>804</v>
      </c>
      <c r="H362" s="45">
        <f t="shared" si="29"/>
        <v>1</v>
      </c>
      <c r="I362" s="44" t="s">
        <v>1283</v>
      </c>
      <c r="J362" s="44"/>
      <c r="K362" s="41">
        <v>804</v>
      </c>
    </row>
    <row r="363" spans="2:11" s="41" customFormat="1">
      <c r="B363" s="41" t="s">
        <v>1221</v>
      </c>
      <c r="D363" s="51" t="s">
        <v>1221</v>
      </c>
      <c r="E363" s="44">
        <v>4</v>
      </c>
      <c r="F363" s="44"/>
      <c r="G363" s="41">
        <v>804</v>
      </c>
      <c r="H363" s="45">
        <f t="shared" si="29"/>
        <v>1</v>
      </c>
      <c r="I363" s="44" t="s">
        <v>1283</v>
      </c>
      <c r="J363" s="44"/>
      <c r="K363" s="41">
        <v>804</v>
      </c>
    </row>
    <row r="364" spans="2:11" s="41" customFormat="1">
      <c r="B364" s="41" t="s">
        <v>1220</v>
      </c>
      <c r="D364" s="51" t="s">
        <v>1220</v>
      </c>
      <c r="E364" s="44">
        <v>6</v>
      </c>
      <c r="F364" s="44"/>
      <c r="G364" s="41">
        <v>804</v>
      </c>
      <c r="H364" s="45">
        <f t="shared" si="29"/>
        <v>1</v>
      </c>
      <c r="I364" s="44" t="s">
        <v>1283</v>
      </c>
      <c r="J364" s="44"/>
      <c r="K364" s="41">
        <v>804</v>
      </c>
    </row>
    <row r="365" spans="2:11" s="41" customFormat="1">
      <c r="B365" s="41" t="s">
        <v>1219</v>
      </c>
      <c r="D365" s="51" t="s">
        <v>1219</v>
      </c>
      <c r="E365" s="44">
        <v>8</v>
      </c>
      <c r="F365" s="44"/>
      <c r="G365" s="41">
        <v>804</v>
      </c>
      <c r="H365" s="45">
        <f t="shared" si="29"/>
        <v>1</v>
      </c>
      <c r="I365" s="44" t="s">
        <v>1283</v>
      </c>
      <c r="J365" s="44"/>
      <c r="K365" s="41">
        <v>804</v>
      </c>
    </row>
    <row r="366" spans="2:11" s="41" customFormat="1">
      <c r="B366" s="41" t="s">
        <v>1218</v>
      </c>
      <c r="D366" s="51" t="s">
        <v>1218</v>
      </c>
      <c r="E366" s="44">
        <v>10</v>
      </c>
      <c r="F366" s="44"/>
      <c r="G366" s="41">
        <v>804</v>
      </c>
      <c r="H366" s="45">
        <f t="shared" si="29"/>
        <v>1</v>
      </c>
      <c r="I366" s="44" t="s">
        <v>1283</v>
      </c>
      <c r="J366" s="44"/>
      <c r="K366" s="41">
        <v>804</v>
      </c>
    </row>
    <row r="367" spans="2:11" s="41" customFormat="1">
      <c r="B367" s="41" t="s">
        <v>1217</v>
      </c>
      <c r="D367" s="51" t="s">
        <v>1217</v>
      </c>
      <c r="E367" s="44">
        <v>12</v>
      </c>
      <c r="F367" s="44"/>
      <c r="G367" s="41">
        <v>804</v>
      </c>
      <c r="H367" s="45">
        <f t="shared" si="29"/>
        <v>1</v>
      </c>
      <c r="I367" s="44" t="s">
        <v>1283</v>
      </c>
      <c r="J367" s="44"/>
      <c r="K367" s="41">
        <v>804</v>
      </c>
    </row>
    <row r="368" spans="2:11" s="41" customFormat="1">
      <c r="B368" s="41" t="s">
        <v>1216</v>
      </c>
      <c r="D368" s="51" t="s">
        <v>1216</v>
      </c>
      <c r="E368" s="44">
        <v>14</v>
      </c>
      <c r="F368" s="44"/>
      <c r="G368" s="41">
        <v>804</v>
      </c>
      <c r="H368" s="45">
        <f t="shared" si="29"/>
        <v>1</v>
      </c>
      <c r="I368" s="44" t="s">
        <v>1283</v>
      </c>
      <c r="J368" s="44"/>
      <c r="K368" s="41">
        <v>804</v>
      </c>
    </row>
    <row r="369" spans="1:12" s="41" customFormat="1">
      <c r="B369" s="41" t="s">
        <v>1215</v>
      </c>
      <c r="D369" s="51" t="s">
        <v>1215</v>
      </c>
      <c r="E369" s="44">
        <v>0</v>
      </c>
      <c r="F369" s="44"/>
      <c r="G369" s="41">
        <v>805</v>
      </c>
      <c r="H369" s="45">
        <f t="shared" si="29"/>
        <v>1</v>
      </c>
      <c r="I369" s="44" t="s">
        <v>1283</v>
      </c>
      <c r="J369" s="44"/>
      <c r="K369" s="41">
        <v>805</v>
      </c>
    </row>
    <row r="370" spans="1:12" s="41" customFormat="1">
      <c r="B370" s="41" t="s">
        <v>1214</v>
      </c>
      <c r="D370" s="51" t="s">
        <v>1214</v>
      </c>
      <c r="E370" s="44">
        <v>2</v>
      </c>
      <c r="F370" s="44"/>
      <c r="G370" s="41">
        <v>805</v>
      </c>
      <c r="H370" s="45">
        <f t="shared" si="29"/>
        <v>1</v>
      </c>
      <c r="I370" s="44" t="s">
        <v>1283</v>
      </c>
      <c r="J370" s="44"/>
      <c r="K370" s="41">
        <v>805</v>
      </c>
    </row>
    <row r="371" spans="1:12" s="41" customFormat="1">
      <c r="B371" s="41" t="s">
        <v>1213</v>
      </c>
      <c r="D371" s="51" t="s">
        <v>1213</v>
      </c>
      <c r="E371" s="44">
        <v>4</v>
      </c>
      <c r="F371" s="44"/>
      <c r="G371" s="41">
        <v>805</v>
      </c>
      <c r="H371" s="45">
        <f t="shared" si="29"/>
        <v>1</v>
      </c>
      <c r="I371" s="44" t="s">
        <v>1283</v>
      </c>
      <c r="J371" s="44"/>
      <c r="K371" s="41">
        <v>805</v>
      </c>
    </row>
    <row r="372" spans="1:12" s="41" customFormat="1">
      <c r="B372" s="41" t="s">
        <v>309</v>
      </c>
      <c r="D372" s="51" t="s">
        <v>309</v>
      </c>
      <c r="E372" s="44">
        <v>6</v>
      </c>
      <c r="F372" s="44"/>
      <c r="G372" s="41">
        <v>805</v>
      </c>
      <c r="H372" s="45">
        <f t="shared" si="29"/>
        <v>1</v>
      </c>
      <c r="I372" s="44" t="s">
        <v>1283</v>
      </c>
      <c r="J372" s="44"/>
      <c r="K372" s="41">
        <v>805</v>
      </c>
    </row>
    <row r="373" spans="1:12" s="41" customFormat="1">
      <c r="B373" s="41" t="s">
        <v>308</v>
      </c>
      <c r="D373" s="51" t="s">
        <v>308</v>
      </c>
      <c r="E373" s="44">
        <v>8</v>
      </c>
      <c r="F373" s="44"/>
      <c r="G373" s="41">
        <v>805</v>
      </c>
      <c r="H373" s="45">
        <f t="shared" si="29"/>
        <v>1</v>
      </c>
      <c r="I373" s="44" t="s">
        <v>1283</v>
      </c>
      <c r="J373" s="44"/>
      <c r="K373" s="41">
        <v>805</v>
      </c>
    </row>
    <row r="374" spans="1:12" s="41" customFormat="1">
      <c r="B374" s="41" t="s">
        <v>308</v>
      </c>
      <c r="D374" s="51" t="s">
        <v>308</v>
      </c>
      <c r="E374" s="44"/>
      <c r="F374" s="44"/>
      <c r="G374" s="41">
        <v>806</v>
      </c>
      <c r="H374" s="45">
        <f t="shared" si="29"/>
        <v>1</v>
      </c>
      <c r="I374" s="44" t="s">
        <v>1283</v>
      </c>
      <c r="J374" s="44"/>
      <c r="K374" s="41">
        <v>806</v>
      </c>
    </row>
    <row r="375" spans="1:12" s="41" customFormat="1">
      <c r="A375" s="38"/>
      <c r="D375" s="53"/>
      <c r="E375" s="47"/>
      <c r="F375" s="47"/>
      <c r="H375" s="44"/>
      <c r="I375" s="47"/>
      <c r="J375" s="48"/>
      <c r="L375" s="40"/>
    </row>
    <row r="376" spans="1:12" s="43" customFormat="1">
      <c r="A376" s="42"/>
      <c r="B376" s="42" t="s">
        <v>1316</v>
      </c>
      <c r="C376" s="42"/>
      <c r="D376" s="54"/>
      <c r="E376" s="46"/>
      <c r="F376" s="46"/>
      <c r="G376" s="42"/>
      <c r="H376" s="45"/>
      <c r="I376" s="46"/>
      <c r="J376" s="49"/>
      <c r="K376" s="42"/>
      <c r="L376" s="42"/>
    </row>
    <row r="377" spans="1:12" s="41" customFormat="1">
      <c r="D377" s="51" t="s">
        <v>1212</v>
      </c>
      <c r="E377" s="44"/>
      <c r="F377" s="44"/>
      <c r="G377" s="41">
        <v>807</v>
      </c>
      <c r="H377" s="45">
        <f t="shared" ref="H377:H396" si="30">K377-G377+1</f>
        <v>2</v>
      </c>
      <c r="I377" s="47" t="s">
        <v>351</v>
      </c>
      <c r="J377" s="48" t="s">
        <v>306</v>
      </c>
      <c r="K377" s="41">
        <v>808</v>
      </c>
    </row>
    <row r="378" spans="1:12" s="41" customFormat="1">
      <c r="D378" s="51" t="s">
        <v>1211</v>
      </c>
      <c r="E378" s="44"/>
      <c r="F378" s="44"/>
      <c r="G378" s="41">
        <f t="shared" ref="G378:G396" si="31">G377 +2</f>
        <v>809</v>
      </c>
      <c r="H378" s="45">
        <f t="shared" si="30"/>
        <v>2</v>
      </c>
      <c r="I378" s="47" t="s">
        <v>351</v>
      </c>
      <c r="J378" s="48" t="s">
        <v>306</v>
      </c>
      <c r="K378" s="41">
        <f t="shared" ref="K378:K396" si="32">K377 + 2</f>
        <v>810</v>
      </c>
    </row>
    <row r="379" spans="1:12" s="41" customFormat="1">
      <c r="D379" s="51" t="s">
        <v>1210</v>
      </c>
      <c r="E379" s="44"/>
      <c r="F379" s="44"/>
      <c r="G379" s="41">
        <f t="shared" si="31"/>
        <v>811</v>
      </c>
      <c r="H379" s="45">
        <f t="shared" si="30"/>
        <v>2</v>
      </c>
      <c r="I379" s="47" t="s">
        <v>351</v>
      </c>
      <c r="J379" s="48" t="s">
        <v>306</v>
      </c>
      <c r="K379" s="41">
        <f t="shared" si="32"/>
        <v>812</v>
      </c>
    </row>
    <row r="380" spans="1:12" s="41" customFormat="1">
      <c r="D380" s="51" t="s">
        <v>1209</v>
      </c>
      <c r="E380" s="44"/>
      <c r="F380" s="44"/>
      <c r="G380" s="41">
        <f t="shared" si="31"/>
        <v>813</v>
      </c>
      <c r="H380" s="45">
        <f t="shared" si="30"/>
        <v>2</v>
      </c>
      <c r="I380" s="47" t="s">
        <v>351</v>
      </c>
      <c r="J380" s="48" t="s">
        <v>306</v>
      </c>
      <c r="K380" s="41">
        <f t="shared" si="32"/>
        <v>814</v>
      </c>
    </row>
    <row r="381" spans="1:12" s="41" customFormat="1">
      <c r="D381" s="51" t="s">
        <v>1208</v>
      </c>
      <c r="E381" s="44"/>
      <c r="F381" s="44"/>
      <c r="G381" s="41">
        <f t="shared" si="31"/>
        <v>815</v>
      </c>
      <c r="H381" s="45">
        <f t="shared" si="30"/>
        <v>2</v>
      </c>
      <c r="I381" s="47" t="s">
        <v>351</v>
      </c>
      <c r="J381" s="48" t="s">
        <v>306</v>
      </c>
      <c r="K381" s="41">
        <f t="shared" si="32"/>
        <v>816</v>
      </c>
    </row>
    <row r="382" spans="1:12" s="41" customFormat="1">
      <c r="D382" s="51" t="s">
        <v>1207</v>
      </c>
      <c r="E382" s="44"/>
      <c r="F382" s="44"/>
      <c r="G382" s="41">
        <f t="shared" si="31"/>
        <v>817</v>
      </c>
      <c r="H382" s="45">
        <f t="shared" si="30"/>
        <v>2</v>
      </c>
      <c r="I382" s="47" t="s">
        <v>351</v>
      </c>
      <c r="J382" s="48" t="s">
        <v>306</v>
      </c>
      <c r="K382" s="41">
        <f t="shared" si="32"/>
        <v>818</v>
      </c>
    </row>
    <row r="383" spans="1:12" s="41" customFormat="1">
      <c r="D383" s="51" t="s">
        <v>1206</v>
      </c>
      <c r="E383" s="44"/>
      <c r="F383" s="44"/>
      <c r="G383" s="41">
        <f t="shared" si="31"/>
        <v>819</v>
      </c>
      <c r="H383" s="45">
        <f t="shared" si="30"/>
        <v>2</v>
      </c>
      <c r="I383" s="47" t="s">
        <v>351</v>
      </c>
      <c r="J383" s="48" t="s">
        <v>306</v>
      </c>
      <c r="K383" s="41">
        <f t="shared" si="32"/>
        <v>820</v>
      </c>
    </row>
    <row r="384" spans="1:12" s="41" customFormat="1">
      <c r="D384" s="51" t="s">
        <v>1205</v>
      </c>
      <c r="E384" s="44"/>
      <c r="F384" s="44"/>
      <c r="G384" s="41">
        <f t="shared" si="31"/>
        <v>821</v>
      </c>
      <c r="H384" s="45">
        <f t="shared" si="30"/>
        <v>2</v>
      </c>
      <c r="I384" s="47" t="s">
        <v>351</v>
      </c>
      <c r="J384" s="48" t="s">
        <v>306</v>
      </c>
      <c r="K384" s="41">
        <f t="shared" si="32"/>
        <v>822</v>
      </c>
    </row>
    <row r="385" spans="1:12" s="41" customFormat="1">
      <c r="D385" s="51" t="s">
        <v>1204</v>
      </c>
      <c r="E385" s="44"/>
      <c r="F385" s="44"/>
      <c r="G385" s="41">
        <f t="shared" si="31"/>
        <v>823</v>
      </c>
      <c r="H385" s="45">
        <f t="shared" si="30"/>
        <v>2</v>
      </c>
      <c r="I385" s="47" t="s">
        <v>351</v>
      </c>
      <c r="J385" s="48" t="s">
        <v>306</v>
      </c>
      <c r="K385" s="41">
        <f t="shared" si="32"/>
        <v>824</v>
      </c>
    </row>
    <row r="386" spans="1:12" s="41" customFormat="1">
      <c r="D386" s="51" t="s">
        <v>1203</v>
      </c>
      <c r="E386" s="44"/>
      <c r="F386" s="44"/>
      <c r="G386" s="41">
        <f t="shared" si="31"/>
        <v>825</v>
      </c>
      <c r="H386" s="45">
        <f t="shared" si="30"/>
        <v>2</v>
      </c>
      <c r="I386" s="47" t="s">
        <v>351</v>
      </c>
      <c r="J386" s="48" t="s">
        <v>306</v>
      </c>
      <c r="K386" s="41">
        <f t="shared" si="32"/>
        <v>826</v>
      </c>
    </row>
    <row r="387" spans="1:12" s="41" customFormat="1">
      <c r="D387" s="51" t="s">
        <v>1202</v>
      </c>
      <c r="E387" s="44"/>
      <c r="F387" s="44"/>
      <c r="G387" s="41">
        <f t="shared" si="31"/>
        <v>827</v>
      </c>
      <c r="H387" s="45">
        <f t="shared" si="30"/>
        <v>2</v>
      </c>
      <c r="I387" s="47" t="s">
        <v>351</v>
      </c>
      <c r="J387" s="48" t="s">
        <v>306</v>
      </c>
      <c r="K387" s="41">
        <f t="shared" si="32"/>
        <v>828</v>
      </c>
    </row>
    <row r="388" spans="1:12" s="41" customFormat="1">
      <c r="D388" s="51" t="s">
        <v>1201</v>
      </c>
      <c r="E388" s="44"/>
      <c r="F388" s="44"/>
      <c r="G388" s="41">
        <f t="shared" si="31"/>
        <v>829</v>
      </c>
      <c r="H388" s="45">
        <f t="shared" si="30"/>
        <v>2</v>
      </c>
      <c r="I388" s="47" t="s">
        <v>351</v>
      </c>
      <c r="J388" s="48" t="s">
        <v>306</v>
      </c>
      <c r="K388" s="41">
        <f t="shared" si="32"/>
        <v>830</v>
      </c>
    </row>
    <row r="389" spans="1:12" s="41" customFormat="1">
      <c r="D389" s="51" t="s">
        <v>1200</v>
      </c>
      <c r="E389" s="44"/>
      <c r="F389" s="44"/>
      <c r="G389" s="41">
        <f t="shared" si="31"/>
        <v>831</v>
      </c>
      <c r="H389" s="45">
        <f t="shared" si="30"/>
        <v>2</v>
      </c>
      <c r="I389" s="47" t="s">
        <v>351</v>
      </c>
      <c r="J389" s="48" t="s">
        <v>306</v>
      </c>
      <c r="K389" s="41">
        <f t="shared" si="32"/>
        <v>832</v>
      </c>
    </row>
    <row r="390" spans="1:12" s="41" customFormat="1">
      <c r="D390" s="51" t="s">
        <v>1199</v>
      </c>
      <c r="E390" s="44"/>
      <c r="F390" s="44"/>
      <c r="G390" s="41">
        <f t="shared" si="31"/>
        <v>833</v>
      </c>
      <c r="H390" s="45">
        <f t="shared" si="30"/>
        <v>2</v>
      </c>
      <c r="I390" s="47" t="s">
        <v>351</v>
      </c>
      <c r="J390" s="48" t="s">
        <v>306</v>
      </c>
      <c r="K390" s="41">
        <f t="shared" si="32"/>
        <v>834</v>
      </c>
    </row>
    <row r="391" spans="1:12" s="41" customFormat="1">
      <c r="D391" s="51" t="s">
        <v>1198</v>
      </c>
      <c r="E391" s="44"/>
      <c r="F391" s="44"/>
      <c r="G391" s="41">
        <f t="shared" si="31"/>
        <v>835</v>
      </c>
      <c r="H391" s="45">
        <f t="shared" si="30"/>
        <v>2</v>
      </c>
      <c r="I391" s="47" t="s">
        <v>351</v>
      </c>
      <c r="J391" s="48" t="s">
        <v>306</v>
      </c>
      <c r="K391" s="41">
        <f t="shared" si="32"/>
        <v>836</v>
      </c>
    </row>
    <row r="392" spans="1:12" s="41" customFormat="1">
      <c r="D392" s="51" t="s">
        <v>1197</v>
      </c>
      <c r="E392" s="44"/>
      <c r="F392" s="44"/>
      <c r="G392" s="41">
        <f t="shared" si="31"/>
        <v>837</v>
      </c>
      <c r="H392" s="45">
        <f t="shared" si="30"/>
        <v>2</v>
      </c>
      <c r="I392" s="47" t="s">
        <v>351</v>
      </c>
      <c r="J392" s="48" t="s">
        <v>306</v>
      </c>
      <c r="K392" s="41">
        <f t="shared" si="32"/>
        <v>838</v>
      </c>
    </row>
    <row r="393" spans="1:12" s="41" customFormat="1">
      <c r="D393" s="51" t="s">
        <v>1196</v>
      </c>
      <c r="E393" s="44"/>
      <c r="F393" s="44"/>
      <c r="G393" s="41">
        <f t="shared" si="31"/>
        <v>839</v>
      </c>
      <c r="H393" s="45">
        <f t="shared" si="30"/>
        <v>2</v>
      </c>
      <c r="I393" s="47" t="s">
        <v>351</v>
      </c>
      <c r="J393" s="48" t="s">
        <v>306</v>
      </c>
      <c r="K393" s="41">
        <f t="shared" si="32"/>
        <v>840</v>
      </c>
    </row>
    <row r="394" spans="1:12" s="41" customFormat="1">
      <c r="D394" s="51" t="s">
        <v>1195</v>
      </c>
      <c r="E394" s="44"/>
      <c r="F394" s="44"/>
      <c r="G394" s="41">
        <f t="shared" si="31"/>
        <v>841</v>
      </c>
      <c r="H394" s="45">
        <f t="shared" si="30"/>
        <v>2</v>
      </c>
      <c r="I394" s="47" t="s">
        <v>351</v>
      </c>
      <c r="J394" s="48" t="s">
        <v>306</v>
      </c>
      <c r="K394" s="41">
        <f t="shared" si="32"/>
        <v>842</v>
      </c>
    </row>
    <row r="395" spans="1:12" s="41" customFormat="1">
      <c r="D395" s="51" t="s">
        <v>1194</v>
      </c>
      <c r="E395" s="44"/>
      <c r="F395" s="44"/>
      <c r="G395" s="41">
        <f t="shared" si="31"/>
        <v>843</v>
      </c>
      <c r="H395" s="45">
        <f t="shared" si="30"/>
        <v>2</v>
      </c>
      <c r="I395" s="47" t="s">
        <v>351</v>
      </c>
      <c r="J395" s="48" t="s">
        <v>306</v>
      </c>
      <c r="K395" s="41">
        <f t="shared" si="32"/>
        <v>844</v>
      </c>
    </row>
    <row r="396" spans="1:12" s="41" customFormat="1">
      <c r="D396" s="51" t="s">
        <v>307</v>
      </c>
      <c r="E396" s="44"/>
      <c r="F396" s="44"/>
      <c r="G396" s="41">
        <f t="shared" si="31"/>
        <v>845</v>
      </c>
      <c r="H396" s="45">
        <f t="shared" si="30"/>
        <v>2</v>
      </c>
      <c r="I396" s="47" t="s">
        <v>351</v>
      </c>
      <c r="J396" s="48" t="s">
        <v>306</v>
      </c>
      <c r="K396" s="41">
        <f t="shared" si="32"/>
        <v>846</v>
      </c>
    </row>
    <row r="397" spans="1:12" s="41" customFormat="1">
      <c r="D397" s="51"/>
      <c r="E397" s="44"/>
      <c r="F397" s="44"/>
      <c r="H397" s="44"/>
      <c r="I397" s="44"/>
      <c r="J397" s="44"/>
    </row>
    <row r="398" spans="1:12" s="43" customFormat="1">
      <c r="A398" s="42"/>
      <c r="B398" s="42" t="s">
        <v>1317</v>
      </c>
      <c r="C398" s="42"/>
      <c r="D398" s="54"/>
      <c r="E398" s="46"/>
      <c r="F398" s="46"/>
      <c r="G398" s="42"/>
      <c r="H398" s="45"/>
      <c r="I398" s="46"/>
      <c r="J398" s="49"/>
      <c r="K398" s="42"/>
      <c r="L398" s="42"/>
    </row>
    <row r="399" spans="1:12" s="41" customFormat="1">
      <c r="D399" s="51" t="s">
        <v>1193</v>
      </c>
      <c r="E399" s="44"/>
      <c r="F399" s="44"/>
      <c r="G399" s="41">
        <v>1001</v>
      </c>
      <c r="H399" s="45">
        <f t="shared" ref="H399:H430" si="33">K399-G399+1</f>
        <v>2</v>
      </c>
      <c r="I399" s="47" t="s">
        <v>351</v>
      </c>
      <c r="J399" s="48" t="s">
        <v>10</v>
      </c>
      <c r="K399" s="41">
        <v>1002</v>
      </c>
    </row>
    <row r="400" spans="1:12" s="41" customFormat="1">
      <c r="D400" s="51" t="s">
        <v>1192</v>
      </c>
      <c r="E400" s="44"/>
      <c r="F400" s="44"/>
      <c r="G400" s="41">
        <f t="shared" ref="G400:G438" si="34">G399+2</f>
        <v>1003</v>
      </c>
      <c r="H400" s="45">
        <f t="shared" si="33"/>
        <v>2</v>
      </c>
      <c r="I400" s="47" t="s">
        <v>351</v>
      </c>
      <c r="J400" s="48" t="s">
        <v>305</v>
      </c>
      <c r="K400" s="41">
        <f t="shared" ref="K400:K438" si="35">K399 + 2</f>
        <v>1004</v>
      </c>
    </row>
    <row r="401" spans="4:11" s="41" customFormat="1">
      <c r="D401" s="51" t="s">
        <v>1191</v>
      </c>
      <c r="E401" s="44"/>
      <c r="F401" s="44"/>
      <c r="G401" s="41">
        <f t="shared" si="34"/>
        <v>1005</v>
      </c>
      <c r="H401" s="45">
        <f t="shared" si="33"/>
        <v>2</v>
      </c>
      <c r="I401" s="47" t="s">
        <v>351</v>
      </c>
      <c r="J401" s="48" t="s">
        <v>305</v>
      </c>
      <c r="K401" s="41">
        <f t="shared" si="35"/>
        <v>1006</v>
      </c>
    </row>
    <row r="402" spans="4:11" s="41" customFormat="1">
      <c r="D402" s="51" t="s">
        <v>1190</v>
      </c>
      <c r="E402" s="44"/>
      <c r="F402" s="44"/>
      <c r="G402" s="41">
        <f t="shared" si="34"/>
        <v>1007</v>
      </c>
      <c r="H402" s="45">
        <f t="shared" si="33"/>
        <v>2</v>
      </c>
      <c r="I402" s="47" t="s">
        <v>351</v>
      </c>
      <c r="J402" s="48" t="s">
        <v>305</v>
      </c>
      <c r="K402" s="41">
        <f t="shared" si="35"/>
        <v>1008</v>
      </c>
    </row>
    <row r="403" spans="4:11" s="41" customFormat="1">
      <c r="D403" s="51" t="s">
        <v>1189</v>
      </c>
      <c r="E403" s="44"/>
      <c r="F403" s="44"/>
      <c r="G403" s="41">
        <f t="shared" si="34"/>
        <v>1009</v>
      </c>
      <c r="H403" s="45">
        <f t="shared" si="33"/>
        <v>2</v>
      </c>
      <c r="I403" s="47" t="s">
        <v>351</v>
      </c>
      <c r="J403" s="48" t="s">
        <v>305</v>
      </c>
      <c r="K403" s="41">
        <f t="shared" si="35"/>
        <v>1010</v>
      </c>
    </row>
    <row r="404" spans="4:11" s="41" customFormat="1">
      <c r="D404" s="51" t="s">
        <v>1188</v>
      </c>
      <c r="E404" s="44"/>
      <c r="F404" s="44"/>
      <c r="G404" s="41">
        <f t="shared" si="34"/>
        <v>1011</v>
      </c>
      <c r="H404" s="45">
        <f t="shared" si="33"/>
        <v>2</v>
      </c>
      <c r="I404" s="47" t="s">
        <v>351</v>
      </c>
      <c r="J404" s="48" t="s">
        <v>305</v>
      </c>
      <c r="K404" s="41">
        <f t="shared" si="35"/>
        <v>1012</v>
      </c>
    </row>
    <row r="405" spans="4:11" s="41" customFormat="1">
      <c r="D405" s="51" t="s">
        <v>1187</v>
      </c>
      <c r="E405" s="44"/>
      <c r="F405" s="44"/>
      <c r="G405" s="41">
        <f t="shared" si="34"/>
        <v>1013</v>
      </c>
      <c r="H405" s="45">
        <f t="shared" si="33"/>
        <v>2</v>
      </c>
      <c r="I405" s="47" t="s">
        <v>351</v>
      </c>
      <c r="J405" s="48" t="s">
        <v>305</v>
      </c>
      <c r="K405" s="41">
        <f t="shared" si="35"/>
        <v>1014</v>
      </c>
    </row>
    <row r="406" spans="4:11" s="41" customFormat="1">
      <c r="D406" s="51" t="s">
        <v>1186</v>
      </c>
      <c r="E406" s="44"/>
      <c r="F406" s="44"/>
      <c r="G406" s="41">
        <f t="shared" si="34"/>
        <v>1015</v>
      </c>
      <c r="H406" s="45">
        <f t="shared" si="33"/>
        <v>2</v>
      </c>
      <c r="I406" s="47" t="s">
        <v>351</v>
      </c>
      <c r="J406" s="48" t="s">
        <v>305</v>
      </c>
      <c r="K406" s="41">
        <f t="shared" si="35"/>
        <v>1016</v>
      </c>
    </row>
    <row r="407" spans="4:11" s="41" customFormat="1">
      <c r="D407" s="51" t="s">
        <v>1185</v>
      </c>
      <c r="E407" s="44"/>
      <c r="F407" s="44"/>
      <c r="G407" s="41">
        <f t="shared" si="34"/>
        <v>1017</v>
      </c>
      <c r="H407" s="45">
        <f t="shared" si="33"/>
        <v>2</v>
      </c>
      <c r="I407" s="47" t="s">
        <v>351</v>
      </c>
      <c r="J407" s="48" t="s">
        <v>305</v>
      </c>
      <c r="K407" s="41">
        <f t="shared" si="35"/>
        <v>1018</v>
      </c>
    </row>
    <row r="408" spans="4:11" s="41" customFormat="1">
      <c r="D408" s="51" t="s">
        <v>1184</v>
      </c>
      <c r="E408" s="44"/>
      <c r="F408" s="44"/>
      <c r="G408" s="41">
        <f t="shared" si="34"/>
        <v>1019</v>
      </c>
      <c r="H408" s="45">
        <f t="shared" si="33"/>
        <v>2</v>
      </c>
      <c r="I408" s="47" t="s">
        <v>351</v>
      </c>
      <c r="J408" s="48" t="s">
        <v>305</v>
      </c>
      <c r="K408" s="41">
        <f t="shared" si="35"/>
        <v>1020</v>
      </c>
    </row>
    <row r="409" spans="4:11" s="41" customFormat="1">
      <c r="D409" s="51" t="s">
        <v>1183</v>
      </c>
      <c r="E409" s="44"/>
      <c r="F409" s="44"/>
      <c r="G409" s="41">
        <f t="shared" si="34"/>
        <v>1021</v>
      </c>
      <c r="H409" s="45">
        <f t="shared" si="33"/>
        <v>2</v>
      </c>
      <c r="I409" s="47" t="s">
        <v>351</v>
      </c>
      <c r="J409" s="48" t="s">
        <v>305</v>
      </c>
      <c r="K409" s="41">
        <f t="shared" si="35"/>
        <v>1022</v>
      </c>
    </row>
    <row r="410" spans="4:11" s="41" customFormat="1">
      <c r="D410" s="51" t="s">
        <v>1182</v>
      </c>
      <c r="E410" s="44"/>
      <c r="F410" s="44"/>
      <c r="G410" s="41">
        <f t="shared" si="34"/>
        <v>1023</v>
      </c>
      <c r="H410" s="45">
        <f t="shared" si="33"/>
        <v>2</v>
      </c>
      <c r="I410" s="47" t="s">
        <v>351</v>
      </c>
      <c r="J410" s="48" t="s">
        <v>305</v>
      </c>
      <c r="K410" s="41">
        <f t="shared" si="35"/>
        <v>1024</v>
      </c>
    </row>
    <row r="411" spans="4:11" s="41" customFormat="1">
      <c r="D411" s="51" t="s">
        <v>1181</v>
      </c>
      <c r="E411" s="44"/>
      <c r="F411" s="44"/>
      <c r="G411" s="41">
        <f t="shared" si="34"/>
        <v>1025</v>
      </c>
      <c r="H411" s="45">
        <f t="shared" si="33"/>
        <v>2</v>
      </c>
      <c r="I411" s="47" t="s">
        <v>351</v>
      </c>
      <c r="J411" s="48" t="s">
        <v>305</v>
      </c>
      <c r="K411" s="41">
        <f t="shared" si="35"/>
        <v>1026</v>
      </c>
    </row>
    <row r="412" spans="4:11" s="41" customFormat="1">
      <c r="D412" s="51" t="s">
        <v>1180</v>
      </c>
      <c r="E412" s="44"/>
      <c r="F412" s="44"/>
      <c r="G412" s="41">
        <f t="shared" si="34"/>
        <v>1027</v>
      </c>
      <c r="H412" s="45">
        <f t="shared" si="33"/>
        <v>2</v>
      </c>
      <c r="I412" s="47" t="s">
        <v>351</v>
      </c>
      <c r="J412" s="48" t="s">
        <v>305</v>
      </c>
      <c r="K412" s="41">
        <f t="shared" si="35"/>
        <v>1028</v>
      </c>
    </row>
    <row r="413" spans="4:11" s="41" customFormat="1">
      <c r="D413" s="51" t="s">
        <v>1179</v>
      </c>
      <c r="E413" s="44"/>
      <c r="F413" s="44"/>
      <c r="G413" s="41">
        <f t="shared" si="34"/>
        <v>1029</v>
      </c>
      <c r="H413" s="45">
        <f t="shared" si="33"/>
        <v>2</v>
      </c>
      <c r="I413" s="47" t="s">
        <v>351</v>
      </c>
      <c r="J413" s="48" t="s">
        <v>305</v>
      </c>
      <c r="K413" s="41">
        <f t="shared" si="35"/>
        <v>1030</v>
      </c>
    </row>
    <row r="414" spans="4:11" s="41" customFormat="1">
      <c r="D414" s="51" t="s">
        <v>1178</v>
      </c>
      <c r="E414" s="44"/>
      <c r="F414" s="44"/>
      <c r="G414" s="41">
        <f t="shared" si="34"/>
        <v>1031</v>
      </c>
      <c r="H414" s="45">
        <f t="shared" si="33"/>
        <v>2</v>
      </c>
      <c r="I414" s="47" t="s">
        <v>351</v>
      </c>
      <c r="J414" s="48" t="s">
        <v>305</v>
      </c>
      <c r="K414" s="41">
        <f t="shared" si="35"/>
        <v>1032</v>
      </c>
    </row>
    <row r="415" spans="4:11" s="41" customFormat="1">
      <c r="D415" s="51" t="s">
        <v>1177</v>
      </c>
      <c r="E415" s="44"/>
      <c r="F415" s="44"/>
      <c r="G415" s="41">
        <f t="shared" si="34"/>
        <v>1033</v>
      </c>
      <c r="H415" s="45">
        <f t="shared" si="33"/>
        <v>2</v>
      </c>
      <c r="I415" s="47" t="s">
        <v>351</v>
      </c>
      <c r="J415" s="48" t="s">
        <v>305</v>
      </c>
      <c r="K415" s="41">
        <f t="shared" si="35"/>
        <v>1034</v>
      </c>
    </row>
    <row r="416" spans="4:11" s="41" customFormat="1">
      <c r="D416" s="51" t="s">
        <v>1176</v>
      </c>
      <c r="E416" s="44"/>
      <c r="F416" s="44"/>
      <c r="G416" s="41">
        <f t="shared" si="34"/>
        <v>1035</v>
      </c>
      <c r="H416" s="45">
        <f t="shared" si="33"/>
        <v>2</v>
      </c>
      <c r="I416" s="47" t="s">
        <v>351</v>
      </c>
      <c r="J416" s="48" t="s">
        <v>305</v>
      </c>
      <c r="K416" s="41">
        <f t="shared" si="35"/>
        <v>1036</v>
      </c>
    </row>
    <row r="417" spans="4:11" s="41" customFormat="1">
      <c r="D417" s="51" t="s">
        <v>1175</v>
      </c>
      <c r="E417" s="44"/>
      <c r="F417" s="44"/>
      <c r="G417" s="41">
        <f t="shared" si="34"/>
        <v>1037</v>
      </c>
      <c r="H417" s="45">
        <f t="shared" si="33"/>
        <v>2</v>
      </c>
      <c r="I417" s="47" t="s">
        <v>351</v>
      </c>
      <c r="J417" s="48" t="s">
        <v>305</v>
      </c>
      <c r="K417" s="41">
        <f t="shared" si="35"/>
        <v>1038</v>
      </c>
    </row>
    <row r="418" spans="4:11" s="41" customFormat="1">
      <c r="D418" s="51" t="s">
        <v>1174</v>
      </c>
      <c r="E418" s="44"/>
      <c r="F418" s="44"/>
      <c r="G418" s="41">
        <f t="shared" si="34"/>
        <v>1039</v>
      </c>
      <c r="H418" s="45">
        <f t="shared" si="33"/>
        <v>2</v>
      </c>
      <c r="I418" s="47" t="s">
        <v>351</v>
      </c>
      <c r="J418" s="48" t="s">
        <v>305</v>
      </c>
      <c r="K418" s="41">
        <f t="shared" si="35"/>
        <v>1040</v>
      </c>
    </row>
    <row r="419" spans="4:11" s="41" customFormat="1">
      <c r="D419" s="51" t="s">
        <v>1173</v>
      </c>
      <c r="E419" s="44"/>
      <c r="F419" s="44"/>
      <c r="G419" s="41">
        <f t="shared" si="34"/>
        <v>1041</v>
      </c>
      <c r="H419" s="45">
        <f t="shared" si="33"/>
        <v>2</v>
      </c>
      <c r="I419" s="47" t="s">
        <v>351</v>
      </c>
      <c r="J419" s="48" t="s">
        <v>305</v>
      </c>
      <c r="K419" s="41">
        <f t="shared" si="35"/>
        <v>1042</v>
      </c>
    </row>
    <row r="420" spans="4:11" s="41" customFormat="1">
      <c r="D420" s="51" t="s">
        <v>1172</v>
      </c>
      <c r="E420" s="44"/>
      <c r="F420" s="44"/>
      <c r="G420" s="41">
        <f t="shared" si="34"/>
        <v>1043</v>
      </c>
      <c r="H420" s="45">
        <f t="shared" si="33"/>
        <v>2</v>
      </c>
      <c r="I420" s="47" t="s">
        <v>351</v>
      </c>
      <c r="J420" s="48" t="s">
        <v>305</v>
      </c>
      <c r="K420" s="41">
        <f t="shared" si="35"/>
        <v>1044</v>
      </c>
    </row>
    <row r="421" spans="4:11" s="41" customFormat="1">
      <c r="D421" s="51" t="s">
        <v>1171</v>
      </c>
      <c r="E421" s="44"/>
      <c r="F421" s="44"/>
      <c r="G421" s="41">
        <f t="shared" si="34"/>
        <v>1045</v>
      </c>
      <c r="H421" s="45">
        <f t="shared" si="33"/>
        <v>2</v>
      </c>
      <c r="I421" s="47" t="s">
        <v>351</v>
      </c>
      <c r="J421" s="48" t="s">
        <v>305</v>
      </c>
      <c r="K421" s="41">
        <f t="shared" si="35"/>
        <v>1046</v>
      </c>
    </row>
    <row r="422" spans="4:11" s="41" customFormat="1">
      <c r="D422" s="51" t="s">
        <v>1170</v>
      </c>
      <c r="E422" s="44"/>
      <c r="F422" s="44"/>
      <c r="G422" s="41">
        <f t="shared" si="34"/>
        <v>1047</v>
      </c>
      <c r="H422" s="45">
        <f t="shared" si="33"/>
        <v>2</v>
      </c>
      <c r="I422" s="47" t="s">
        <v>351</v>
      </c>
      <c r="J422" s="48" t="s">
        <v>305</v>
      </c>
      <c r="K422" s="41">
        <f t="shared" si="35"/>
        <v>1048</v>
      </c>
    </row>
    <row r="423" spans="4:11" s="41" customFormat="1">
      <c r="D423" s="51" t="s">
        <v>1169</v>
      </c>
      <c r="E423" s="44"/>
      <c r="F423" s="44"/>
      <c r="G423" s="41">
        <f t="shared" si="34"/>
        <v>1049</v>
      </c>
      <c r="H423" s="45">
        <f t="shared" si="33"/>
        <v>2</v>
      </c>
      <c r="I423" s="47" t="s">
        <v>351</v>
      </c>
      <c r="J423" s="48" t="s">
        <v>305</v>
      </c>
      <c r="K423" s="41">
        <f t="shared" si="35"/>
        <v>1050</v>
      </c>
    </row>
    <row r="424" spans="4:11" s="41" customFormat="1">
      <c r="D424" s="51" t="s">
        <v>1168</v>
      </c>
      <c r="E424" s="44"/>
      <c r="F424" s="44"/>
      <c r="G424" s="41">
        <f t="shared" si="34"/>
        <v>1051</v>
      </c>
      <c r="H424" s="45">
        <f t="shared" si="33"/>
        <v>2</v>
      </c>
      <c r="I424" s="47" t="s">
        <v>351</v>
      </c>
      <c r="J424" s="48" t="s">
        <v>305</v>
      </c>
      <c r="K424" s="41">
        <f t="shared" si="35"/>
        <v>1052</v>
      </c>
    </row>
    <row r="425" spans="4:11" s="41" customFormat="1">
      <c r="D425" s="51" t="s">
        <v>1167</v>
      </c>
      <c r="E425" s="44"/>
      <c r="F425" s="44"/>
      <c r="G425" s="41">
        <f t="shared" si="34"/>
        <v>1053</v>
      </c>
      <c r="H425" s="45">
        <f t="shared" si="33"/>
        <v>2</v>
      </c>
      <c r="I425" s="47" t="s">
        <v>351</v>
      </c>
      <c r="J425" s="48" t="s">
        <v>305</v>
      </c>
      <c r="K425" s="41">
        <f t="shared" si="35"/>
        <v>1054</v>
      </c>
    </row>
    <row r="426" spans="4:11" s="41" customFormat="1">
      <c r="D426" s="51" t="s">
        <v>1166</v>
      </c>
      <c r="E426" s="44"/>
      <c r="F426" s="44"/>
      <c r="G426" s="41">
        <f t="shared" si="34"/>
        <v>1055</v>
      </c>
      <c r="H426" s="45">
        <f t="shared" si="33"/>
        <v>2</v>
      </c>
      <c r="I426" s="47" t="s">
        <v>351</v>
      </c>
      <c r="J426" s="48" t="s">
        <v>305</v>
      </c>
      <c r="K426" s="41">
        <f t="shared" si="35"/>
        <v>1056</v>
      </c>
    </row>
    <row r="427" spans="4:11" s="41" customFormat="1">
      <c r="D427" s="51" t="s">
        <v>1165</v>
      </c>
      <c r="E427" s="44"/>
      <c r="F427" s="44"/>
      <c r="G427" s="41">
        <f t="shared" si="34"/>
        <v>1057</v>
      </c>
      <c r="H427" s="45">
        <f t="shared" si="33"/>
        <v>2</v>
      </c>
      <c r="I427" s="47" t="s">
        <v>351</v>
      </c>
      <c r="J427" s="48" t="s">
        <v>305</v>
      </c>
      <c r="K427" s="41">
        <f t="shared" si="35"/>
        <v>1058</v>
      </c>
    </row>
    <row r="428" spans="4:11" s="41" customFormat="1">
      <c r="D428" s="51" t="s">
        <v>1164</v>
      </c>
      <c r="E428" s="44"/>
      <c r="F428" s="44"/>
      <c r="G428" s="41">
        <f t="shared" si="34"/>
        <v>1059</v>
      </c>
      <c r="H428" s="45">
        <f t="shared" si="33"/>
        <v>2</v>
      </c>
      <c r="I428" s="47" t="s">
        <v>351</v>
      </c>
      <c r="J428" s="48" t="s">
        <v>305</v>
      </c>
      <c r="K428" s="41">
        <f t="shared" si="35"/>
        <v>1060</v>
      </c>
    </row>
    <row r="429" spans="4:11" s="41" customFormat="1">
      <c r="D429" s="51" t="s">
        <v>1163</v>
      </c>
      <c r="E429" s="44"/>
      <c r="F429" s="44"/>
      <c r="G429" s="41">
        <f t="shared" si="34"/>
        <v>1061</v>
      </c>
      <c r="H429" s="45">
        <f t="shared" si="33"/>
        <v>2</v>
      </c>
      <c r="I429" s="47" t="s">
        <v>351</v>
      </c>
      <c r="J429" s="48" t="s">
        <v>305</v>
      </c>
      <c r="K429" s="41">
        <f t="shared" si="35"/>
        <v>1062</v>
      </c>
    </row>
    <row r="430" spans="4:11" s="41" customFormat="1">
      <c r="D430" s="51" t="s">
        <v>1162</v>
      </c>
      <c r="E430" s="44"/>
      <c r="F430" s="44"/>
      <c r="G430" s="41">
        <f t="shared" si="34"/>
        <v>1063</v>
      </c>
      <c r="H430" s="45">
        <f t="shared" si="33"/>
        <v>2</v>
      </c>
      <c r="I430" s="47" t="s">
        <v>351</v>
      </c>
      <c r="J430" s="48" t="s">
        <v>305</v>
      </c>
      <c r="K430" s="41">
        <f t="shared" si="35"/>
        <v>1064</v>
      </c>
    </row>
    <row r="431" spans="4:11" s="41" customFormat="1">
      <c r="D431" s="51" t="s">
        <v>1161</v>
      </c>
      <c r="E431" s="44"/>
      <c r="F431" s="44"/>
      <c r="G431" s="41">
        <f t="shared" si="34"/>
        <v>1065</v>
      </c>
      <c r="H431" s="45">
        <f t="shared" ref="H431:H462" si="36">K431-G431+1</f>
        <v>2</v>
      </c>
      <c r="I431" s="47" t="s">
        <v>351</v>
      </c>
      <c r="J431" s="48" t="s">
        <v>305</v>
      </c>
      <c r="K431" s="41">
        <f t="shared" si="35"/>
        <v>1066</v>
      </c>
    </row>
    <row r="432" spans="4:11" s="41" customFormat="1">
      <c r="D432" s="51" t="s">
        <v>1160</v>
      </c>
      <c r="E432" s="44"/>
      <c r="F432" s="44"/>
      <c r="G432" s="41">
        <f t="shared" si="34"/>
        <v>1067</v>
      </c>
      <c r="H432" s="45">
        <f t="shared" si="36"/>
        <v>2</v>
      </c>
      <c r="I432" s="47" t="s">
        <v>351</v>
      </c>
      <c r="J432" s="48" t="s">
        <v>305</v>
      </c>
      <c r="K432" s="41">
        <f t="shared" si="35"/>
        <v>1068</v>
      </c>
    </row>
    <row r="433" spans="4:11" s="41" customFormat="1">
      <c r="D433" s="51" t="s">
        <v>1159</v>
      </c>
      <c r="E433" s="44"/>
      <c r="F433" s="44"/>
      <c r="G433" s="41">
        <f t="shared" si="34"/>
        <v>1069</v>
      </c>
      <c r="H433" s="45">
        <f t="shared" si="36"/>
        <v>2</v>
      </c>
      <c r="I433" s="47" t="s">
        <v>351</v>
      </c>
      <c r="J433" s="48" t="s">
        <v>305</v>
      </c>
      <c r="K433" s="41">
        <f t="shared" si="35"/>
        <v>1070</v>
      </c>
    </row>
    <row r="434" spans="4:11" s="41" customFormat="1">
      <c r="D434" s="51" t="s">
        <v>1158</v>
      </c>
      <c r="E434" s="44"/>
      <c r="F434" s="44"/>
      <c r="G434" s="41">
        <f t="shared" si="34"/>
        <v>1071</v>
      </c>
      <c r="H434" s="45">
        <f t="shared" si="36"/>
        <v>2</v>
      </c>
      <c r="I434" s="47" t="s">
        <v>351</v>
      </c>
      <c r="J434" s="48" t="s">
        <v>305</v>
      </c>
      <c r="K434" s="41">
        <f t="shared" si="35"/>
        <v>1072</v>
      </c>
    </row>
    <row r="435" spans="4:11" s="41" customFormat="1">
      <c r="D435" s="51" t="s">
        <v>1157</v>
      </c>
      <c r="E435" s="44"/>
      <c r="F435" s="44"/>
      <c r="G435" s="41">
        <f t="shared" si="34"/>
        <v>1073</v>
      </c>
      <c r="H435" s="45">
        <f t="shared" si="36"/>
        <v>2</v>
      </c>
      <c r="I435" s="47" t="s">
        <v>351</v>
      </c>
      <c r="J435" s="48" t="s">
        <v>305</v>
      </c>
      <c r="K435" s="41">
        <f t="shared" si="35"/>
        <v>1074</v>
      </c>
    </row>
    <row r="436" spans="4:11" s="41" customFormat="1">
      <c r="D436" s="51" t="s">
        <v>1156</v>
      </c>
      <c r="E436" s="44"/>
      <c r="F436" s="44"/>
      <c r="G436" s="41">
        <f t="shared" si="34"/>
        <v>1075</v>
      </c>
      <c r="H436" s="45">
        <f t="shared" si="36"/>
        <v>2</v>
      </c>
      <c r="I436" s="47" t="s">
        <v>351</v>
      </c>
      <c r="J436" s="48" t="s">
        <v>305</v>
      </c>
      <c r="K436" s="41">
        <f t="shared" si="35"/>
        <v>1076</v>
      </c>
    </row>
    <row r="437" spans="4:11" s="41" customFormat="1">
      <c r="D437" s="51" t="s">
        <v>1155</v>
      </c>
      <c r="E437" s="44"/>
      <c r="F437" s="44"/>
      <c r="G437" s="41">
        <f t="shared" si="34"/>
        <v>1077</v>
      </c>
      <c r="H437" s="45">
        <f t="shared" si="36"/>
        <v>2</v>
      </c>
      <c r="I437" s="47" t="s">
        <v>351</v>
      </c>
      <c r="J437" s="48" t="s">
        <v>305</v>
      </c>
      <c r="K437" s="41">
        <f t="shared" si="35"/>
        <v>1078</v>
      </c>
    </row>
    <row r="438" spans="4:11" s="41" customFormat="1">
      <c r="D438" s="51" t="s">
        <v>1154</v>
      </c>
      <c r="E438" s="44"/>
      <c r="F438" s="44"/>
      <c r="G438" s="41">
        <f t="shared" si="34"/>
        <v>1079</v>
      </c>
      <c r="H438" s="45">
        <f t="shared" si="36"/>
        <v>2</v>
      </c>
      <c r="I438" s="47" t="s">
        <v>351</v>
      </c>
      <c r="J438" s="48" t="s">
        <v>305</v>
      </c>
      <c r="K438" s="41">
        <f t="shared" si="35"/>
        <v>1080</v>
      </c>
    </row>
    <row r="439" spans="4:11" s="41" customFormat="1">
      <c r="D439" s="51" t="s">
        <v>1153</v>
      </c>
      <c r="E439" s="44"/>
      <c r="F439" s="44"/>
      <c r="G439" s="41">
        <v>1101</v>
      </c>
      <c r="H439" s="45">
        <f t="shared" si="36"/>
        <v>2</v>
      </c>
      <c r="I439" s="47" t="s">
        <v>351</v>
      </c>
      <c r="J439" s="48" t="s">
        <v>10</v>
      </c>
      <c r="K439" s="41">
        <v>1102</v>
      </c>
    </row>
    <row r="440" spans="4:11" s="41" customFormat="1">
      <c r="D440" s="51" t="s">
        <v>1152</v>
      </c>
      <c r="E440" s="44"/>
      <c r="F440" s="44"/>
      <c r="G440" s="41">
        <f t="shared" ref="G440:G478" si="37">G439+2</f>
        <v>1103</v>
      </c>
      <c r="H440" s="45">
        <f t="shared" si="36"/>
        <v>2</v>
      </c>
      <c r="I440" s="47" t="s">
        <v>351</v>
      </c>
      <c r="J440" s="48" t="s">
        <v>305</v>
      </c>
      <c r="K440" s="41">
        <f t="shared" ref="K440:K478" si="38">K439 + 2</f>
        <v>1104</v>
      </c>
    </row>
    <row r="441" spans="4:11" s="41" customFormat="1">
      <c r="D441" s="51" t="s">
        <v>1151</v>
      </c>
      <c r="E441" s="44"/>
      <c r="F441" s="44"/>
      <c r="G441" s="41">
        <f t="shared" si="37"/>
        <v>1105</v>
      </c>
      <c r="H441" s="45">
        <f t="shared" si="36"/>
        <v>2</v>
      </c>
      <c r="I441" s="47" t="s">
        <v>351</v>
      </c>
      <c r="J441" s="48" t="s">
        <v>305</v>
      </c>
      <c r="K441" s="41">
        <f t="shared" si="38"/>
        <v>1106</v>
      </c>
    </row>
    <row r="442" spans="4:11" s="41" customFormat="1">
      <c r="D442" s="51" t="s">
        <v>1150</v>
      </c>
      <c r="E442" s="44"/>
      <c r="F442" s="44"/>
      <c r="G442" s="41">
        <f t="shared" si="37"/>
        <v>1107</v>
      </c>
      <c r="H442" s="45">
        <f t="shared" si="36"/>
        <v>2</v>
      </c>
      <c r="I442" s="47" t="s">
        <v>351</v>
      </c>
      <c r="J442" s="48" t="s">
        <v>305</v>
      </c>
      <c r="K442" s="41">
        <f t="shared" si="38"/>
        <v>1108</v>
      </c>
    </row>
    <row r="443" spans="4:11" s="41" customFormat="1">
      <c r="D443" s="51" t="s">
        <v>1149</v>
      </c>
      <c r="E443" s="44"/>
      <c r="F443" s="44"/>
      <c r="G443" s="41">
        <f t="shared" si="37"/>
        <v>1109</v>
      </c>
      <c r="H443" s="45">
        <f t="shared" si="36"/>
        <v>2</v>
      </c>
      <c r="I443" s="47" t="s">
        <v>351</v>
      </c>
      <c r="J443" s="48" t="s">
        <v>305</v>
      </c>
      <c r="K443" s="41">
        <f t="shared" si="38"/>
        <v>1110</v>
      </c>
    </row>
    <row r="444" spans="4:11" s="41" customFormat="1">
      <c r="D444" s="51" t="s">
        <v>1148</v>
      </c>
      <c r="E444" s="44"/>
      <c r="F444" s="44"/>
      <c r="G444" s="41">
        <f t="shared" si="37"/>
        <v>1111</v>
      </c>
      <c r="H444" s="45">
        <f t="shared" si="36"/>
        <v>2</v>
      </c>
      <c r="I444" s="47" t="s">
        <v>351</v>
      </c>
      <c r="J444" s="48" t="s">
        <v>305</v>
      </c>
      <c r="K444" s="41">
        <f t="shared" si="38"/>
        <v>1112</v>
      </c>
    </row>
    <row r="445" spans="4:11" s="41" customFormat="1">
      <c r="D445" s="51" t="s">
        <v>1147</v>
      </c>
      <c r="E445" s="44"/>
      <c r="F445" s="44"/>
      <c r="G445" s="41">
        <f t="shared" si="37"/>
        <v>1113</v>
      </c>
      <c r="H445" s="45">
        <f t="shared" si="36"/>
        <v>2</v>
      </c>
      <c r="I445" s="47" t="s">
        <v>351</v>
      </c>
      <c r="J445" s="48" t="s">
        <v>305</v>
      </c>
      <c r="K445" s="41">
        <f t="shared" si="38"/>
        <v>1114</v>
      </c>
    </row>
    <row r="446" spans="4:11" s="41" customFormat="1">
      <c r="D446" s="51" t="s">
        <v>1146</v>
      </c>
      <c r="E446" s="44"/>
      <c r="F446" s="44"/>
      <c r="G446" s="41">
        <f t="shared" si="37"/>
        <v>1115</v>
      </c>
      <c r="H446" s="45">
        <f t="shared" si="36"/>
        <v>2</v>
      </c>
      <c r="I446" s="47" t="s">
        <v>351</v>
      </c>
      <c r="J446" s="48" t="s">
        <v>305</v>
      </c>
      <c r="K446" s="41">
        <f t="shared" si="38"/>
        <v>1116</v>
      </c>
    </row>
    <row r="447" spans="4:11" s="41" customFormat="1">
      <c r="D447" s="51" t="s">
        <v>1145</v>
      </c>
      <c r="E447" s="44"/>
      <c r="F447" s="44"/>
      <c r="G447" s="41">
        <f t="shared" si="37"/>
        <v>1117</v>
      </c>
      <c r="H447" s="45">
        <f t="shared" si="36"/>
        <v>2</v>
      </c>
      <c r="I447" s="47" t="s">
        <v>351</v>
      </c>
      <c r="J447" s="48" t="s">
        <v>305</v>
      </c>
      <c r="K447" s="41">
        <f t="shared" si="38"/>
        <v>1118</v>
      </c>
    </row>
    <row r="448" spans="4:11" s="41" customFormat="1">
      <c r="D448" s="51" t="s">
        <v>1144</v>
      </c>
      <c r="E448" s="44"/>
      <c r="F448" s="44"/>
      <c r="G448" s="41">
        <f t="shared" si="37"/>
        <v>1119</v>
      </c>
      <c r="H448" s="45">
        <f t="shared" si="36"/>
        <v>2</v>
      </c>
      <c r="I448" s="47" t="s">
        <v>351</v>
      </c>
      <c r="J448" s="48" t="s">
        <v>305</v>
      </c>
      <c r="K448" s="41">
        <f t="shared" si="38"/>
        <v>1120</v>
      </c>
    </row>
    <row r="449" spans="4:11" s="41" customFormat="1">
      <c r="D449" s="51" t="s">
        <v>1143</v>
      </c>
      <c r="E449" s="44"/>
      <c r="F449" s="44"/>
      <c r="G449" s="41">
        <f t="shared" si="37"/>
        <v>1121</v>
      </c>
      <c r="H449" s="45">
        <f t="shared" si="36"/>
        <v>2</v>
      </c>
      <c r="I449" s="47" t="s">
        <v>351</v>
      </c>
      <c r="J449" s="48" t="s">
        <v>305</v>
      </c>
      <c r="K449" s="41">
        <f t="shared" si="38"/>
        <v>1122</v>
      </c>
    </row>
    <row r="450" spans="4:11" s="41" customFormat="1">
      <c r="D450" s="51" t="s">
        <v>1142</v>
      </c>
      <c r="E450" s="44"/>
      <c r="F450" s="44"/>
      <c r="G450" s="41">
        <f t="shared" si="37"/>
        <v>1123</v>
      </c>
      <c r="H450" s="45">
        <f t="shared" si="36"/>
        <v>2</v>
      </c>
      <c r="I450" s="47" t="s">
        <v>351</v>
      </c>
      <c r="J450" s="48" t="s">
        <v>305</v>
      </c>
      <c r="K450" s="41">
        <f t="shared" si="38"/>
        <v>1124</v>
      </c>
    </row>
    <row r="451" spans="4:11" s="41" customFormat="1">
      <c r="D451" s="51" t="s">
        <v>1141</v>
      </c>
      <c r="E451" s="44"/>
      <c r="F451" s="44"/>
      <c r="G451" s="41">
        <f t="shared" si="37"/>
        <v>1125</v>
      </c>
      <c r="H451" s="45">
        <f t="shared" si="36"/>
        <v>2</v>
      </c>
      <c r="I451" s="47" t="s">
        <v>351</v>
      </c>
      <c r="J451" s="48" t="s">
        <v>305</v>
      </c>
      <c r="K451" s="41">
        <f t="shared" si="38"/>
        <v>1126</v>
      </c>
    </row>
    <row r="452" spans="4:11" s="41" customFormat="1">
      <c r="D452" s="51" t="s">
        <v>1140</v>
      </c>
      <c r="E452" s="44"/>
      <c r="F452" s="44"/>
      <c r="G452" s="41">
        <f t="shared" si="37"/>
        <v>1127</v>
      </c>
      <c r="H452" s="45">
        <f t="shared" si="36"/>
        <v>2</v>
      </c>
      <c r="I452" s="47" t="s">
        <v>351</v>
      </c>
      <c r="J452" s="48" t="s">
        <v>305</v>
      </c>
      <c r="K452" s="41">
        <f t="shared" si="38"/>
        <v>1128</v>
      </c>
    </row>
    <row r="453" spans="4:11" s="41" customFormat="1">
      <c r="D453" s="51" t="s">
        <v>1139</v>
      </c>
      <c r="E453" s="44"/>
      <c r="F453" s="44"/>
      <c r="G453" s="41">
        <f t="shared" si="37"/>
        <v>1129</v>
      </c>
      <c r="H453" s="45">
        <f t="shared" si="36"/>
        <v>2</v>
      </c>
      <c r="I453" s="47" t="s">
        <v>351</v>
      </c>
      <c r="J453" s="48" t="s">
        <v>305</v>
      </c>
      <c r="K453" s="41">
        <f t="shared" si="38"/>
        <v>1130</v>
      </c>
    </row>
    <row r="454" spans="4:11" s="41" customFormat="1">
      <c r="D454" s="51" t="s">
        <v>1138</v>
      </c>
      <c r="E454" s="44"/>
      <c r="F454" s="44"/>
      <c r="G454" s="41">
        <f t="shared" si="37"/>
        <v>1131</v>
      </c>
      <c r="H454" s="45">
        <f t="shared" si="36"/>
        <v>2</v>
      </c>
      <c r="I454" s="47" t="s">
        <v>351</v>
      </c>
      <c r="J454" s="48" t="s">
        <v>305</v>
      </c>
      <c r="K454" s="41">
        <f t="shared" si="38"/>
        <v>1132</v>
      </c>
    </row>
    <row r="455" spans="4:11" s="41" customFormat="1">
      <c r="D455" s="51" t="s">
        <v>1137</v>
      </c>
      <c r="E455" s="44"/>
      <c r="F455" s="44"/>
      <c r="G455" s="41">
        <f t="shared" si="37"/>
        <v>1133</v>
      </c>
      <c r="H455" s="45">
        <f t="shared" si="36"/>
        <v>2</v>
      </c>
      <c r="I455" s="47" t="s">
        <v>351</v>
      </c>
      <c r="J455" s="48" t="s">
        <v>305</v>
      </c>
      <c r="K455" s="41">
        <f t="shared" si="38"/>
        <v>1134</v>
      </c>
    </row>
    <row r="456" spans="4:11" s="41" customFormat="1">
      <c r="D456" s="51" t="s">
        <v>1136</v>
      </c>
      <c r="E456" s="44"/>
      <c r="F456" s="44"/>
      <c r="G456" s="41">
        <f t="shared" si="37"/>
        <v>1135</v>
      </c>
      <c r="H456" s="45">
        <f t="shared" si="36"/>
        <v>2</v>
      </c>
      <c r="I456" s="47" t="s">
        <v>351</v>
      </c>
      <c r="J456" s="48" t="s">
        <v>305</v>
      </c>
      <c r="K456" s="41">
        <f t="shared" si="38"/>
        <v>1136</v>
      </c>
    </row>
    <row r="457" spans="4:11" s="41" customFormat="1">
      <c r="D457" s="51" t="s">
        <v>1135</v>
      </c>
      <c r="E457" s="44"/>
      <c r="F457" s="44"/>
      <c r="G457" s="41">
        <f t="shared" si="37"/>
        <v>1137</v>
      </c>
      <c r="H457" s="45">
        <f t="shared" si="36"/>
        <v>2</v>
      </c>
      <c r="I457" s="47" t="s">
        <v>351</v>
      </c>
      <c r="J457" s="48" t="s">
        <v>305</v>
      </c>
      <c r="K457" s="41">
        <f t="shared" si="38"/>
        <v>1138</v>
      </c>
    </row>
    <row r="458" spans="4:11" s="41" customFormat="1">
      <c r="D458" s="51" t="s">
        <v>1134</v>
      </c>
      <c r="E458" s="44"/>
      <c r="F458" s="44"/>
      <c r="G458" s="41">
        <f t="shared" si="37"/>
        <v>1139</v>
      </c>
      <c r="H458" s="45">
        <f t="shared" si="36"/>
        <v>2</v>
      </c>
      <c r="I458" s="47" t="s">
        <v>351</v>
      </c>
      <c r="J458" s="48" t="s">
        <v>305</v>
      </c>
      <c r="K458" s="41">
        <f t="shared" si="38"/>
        <v>1140</v>
      </c>
    </row>
    <row r="459" spans="4:11" s="41" customFormat="1">
      <c r="D459" s="51" t="s">
        <v>1133</v>
      </c>
      <c r="E459" s="44"/>
      <c r="F459" s="44"/>
      <c r="G459" s="41">
        <f t="shared" si="37"/>
        <v>1141</v>
      </c>
      <c r="H459" s="45">
        <f t="shared" si="36"/>
        <v>2</v>
      </c>
      <c r="I459" s="47" t="s">
        <v>351</v>
      </c>
      <c r="J459" s="48" t="s">
        <v>305</v>
      </c>
      <c r="K459" s="41">
        <f t="shared" si="38"/>
        <v>1142</v>
      </c>
    </row>
    <row r="460" spans="4:11" s="41" customFormat="1">
      <c r="D460" s="51" t="s">
        <v>1132</v>
      </c>
      <c r="E460" s="44"/>
      <c r="F460" s="44"/>
      <c r="G460" s="41">
        <f t="shared" si="37"/>
        <v>1143</v>
      </c>
      <c r="H460" s="45">
        <f t="shared" si="36"/>
        <v>2</v>
      </c>
      <c r="I460" s="47" t="s">
        <v>351</v>
      </c>
      <c r="J460" s="48" t="s">
        <v>305</v>
      </c>
      <c r="K460" s="41">
        <f t="shared" si="38"/>
        <v>1144</v>
      </c>
    </row>
    <row r="461" spans="4:11" s="41" customFormat="1">
      <c r="D461" s="51" t="s">
        <v>1131</v>
      </c>
      <c r="E461" s="44"/>
      <c r="F461" s="44"/>
      <c r="G461" s="41">
        <f t="shared" si="37"/>
        <v>1145</v>
      </c>
      <c r="H461" s="45">
        <f t="shared" si="36"/>
        <v>2</v>
      </c>
      <c r="I461" s="47" t="s">
        <v>351</v>
      </c>
      <c r="J461" s="48" t="s">
        <v>305</v>
      </c>
      <c r="K461" s="41">
        <f t="shared" si="38"/>
        <v>1146</v>
      </c>
    </row>
    <row r="462" spans="4:11" s="41" customFormat="1">
      <c r="D462" s="51" t="s">
        <v>1130</v>
      </c>
      <c r="E462" s="44"/>
      <c r="F462" s="44"/>
      <c r="G462" s="41">
        <f t="shared" si="37"/>
        <v>1147</v>
      </c>
      <c r="H462" s="45">
        <f t="shared" si="36"/>
        <v>2</v>
      </c>
      <c r="I462" s="47" t="s">
        <v>351</v>
      </c>
      <c r="J462" s="48" t="s">
        <v>305</v>
      </c>
      <c r="K462" s="41">
        <f t="shared" si="38"/>
        <v>1148</v>
      </c>
    </row>
    <row r="463" spans="4:11" s="41" customFormat="1">
      <c r="D463" s="51" t="s">
        <v>1129</v>
      </c>
      <c r="E463" s="44"/>
      <c r="F463" s="44"/>
      <c r="G463" s="41">
        <f t="shared" si="37"/>
        <v>1149</v>
      </c>
      <c r="H463" s="45">
        <f t="shared" ref="H463:H494" si="39">K463-G463+1</f>
        <v>2</v>
      </c>
      <c r="I463" s="47" t="s">
        <v>351</v>
      </c>
      <c r="J463" s="48" t="s">
        <v>305</v>
      </c>
      <c r="K463" s="41">
        <f t="shared" si="38"/>
        <v>1150</v>
      </c>
    </row>
    <row r="464" spans="4:11" s="41" customFormat="1">
      <c r="D464" s="51" t="s">
        <v>1128</v>
      </c>
      <c r="E464" s="44"/>
      <c r="F464" s="44"/>
      <c r="G464" s="41">
        <f t="shared" si="37"/>
        <v>1151</v>
      </c>
      <c r="H464" s="45">
        <f t="shared" si="39"/>
        <v>2</v>
      </c>
      <c r="I464" s="47" t="s">
        <v>351</v>
      </c>
      <c r="J464" s="48" t="s">
        <v>305</v>
      </c>
      <c r="K464" s="41">
        <f t="shared" si="38"/>
        <v>1152</v>
      </c>
    </row>
    <row r="465" spans="4:11" s="41" customFormat="1">
      <c r="D465" s="51" t="s">
        <v>1127</v>
      </c>
      <c r="E465" s="44"/>
      <c r="F465" s="44"/>
      <c r="G465" s="41">
        <f t="shared" si="37"/>
        <v>1153</v>
      </c>
      <c r="H465" s="45">
        <f t="shared" si="39"/>
        <v>2</v>
      </c>
      <c r="I465" s="47" t="s">
        <v>351</v>
      </c>
      <c r="J465" s="48" t="s">
        <v>305</v>
      </c>
      <c r="K465" s="41">
        <f t="shared" si="38"/>
        <v>1154</v>
      </c>
    </row>
    <row r="466" spans="4:11" s="41" customFormat="1">
      <c r="D466" s="51" t="s">
        <v>1126</v>
      </c>
      <c r="E466" s="44"/>
      <c r="F466" s="44"/>
      <c r="G466" s="41">
        <f t="shared" si="37"/>
        <v>1155</v>
      </c>
      <c r="H466" s="45">
        <f t="shared" si="39"/>
        <v>2</v>
      </c>
      <c r="I466" s="47" t="s">
        <v>351</v>
      </c>
      <c r="J466" s="48" t="s">
        <v>305</v>
      </c>
      <c r="K466" s="41">
        <f t="shared" si="38"/>
        <v>1156</v>
      </c>
    </row>
    <row r="467" spans="4:11" s="41" customFormat="1">
      <c r="D467" s="51" t="s">
        <v>1125</v>
      </c>
      <c r="E467" s="44"/>
      <c r="F467" s="44"/>
      <c r="G467" s="41">
        <f t="shared" si="37"/>
        <v>1157</v>
      </c>
      <c r="H467" s="45">
        <f t="shared" si="39"/>
        <v>2</v>
      </c>
      <c r="I467" s="47" t="s">
        <v>351</v>
      </c>
      <c r="J467" s="48" t="s">
        <v>305</v>
      </c>
      <c r="K467" s="41">
        <f t="shared" si="38"/>
        <v>1158</v>
      </c>
    </row>
    <row r="468" spans="4:11" s="41" customFormat="1">
      <c r="D468" s="51" t="s">
        <v>1124</v>
      </c>
      <c r="E468" s="44"/>
      <c r="F468" s="44"/>
      <c r="G468" s="41">
        <f t="shared" si="37"/>
        <v>1159</v>
      </c>
      <c r="H468" s="45">
        <f t="shared" si="39"/>
        <v>2</v>
      </c>
      <c r="I468" s="47" t="s">
        <v>351</v>
      </c>
      <c r="J468" s="48" t="s">
        <v>305</v>
      </c>
      <c r="K468" s="41">
        <f t="shared" si="38"/>
        <v>1160</v>
      </c>
    </row>
    <row r="469" spans="4:11" s="41" customFormat="1">
      <c r="D469" s="51" t="s">
        <v>1123</v>
      </c>
      <c r="E469" s="44"/>
      <c r="F469" s="44"/>
      <c r="G469" s="41">
        <f t="shared" si="37"/>
        <v>1161</v>
      </c>
      <c r="H469" s="45">
        <f t="shared" si="39"/>
        <v>2</v>
      </c>
      <c r="I469" s="47" t="s">
        <v>351</v>
      </c>
      <c r="J469" s="48" t="s">
        <v>305</v>
      </c>
      <c r="K469" s="41">
        <f t="shared" si="38"/>
        <v>1162</v>
      </c>
    </row>
    <row r="470" spans="4:11" s="41" customFormat="1">
      <c r="D470" s="51" t="s">
        <v>1122</v>
      </c>
      <c r="E470" s="44"/>
      <c r="F470" s="44"/>
      <c r="G470" s="41">
        <f t="shared" si="37"/>
        <v>1163</v>
      </c>
      <c r="H470" s="45">
        <f t="shared" si="39"/>
        <v>2</v>
      </c>
      <c r="I470" s="47" t="s">
        <v>351</v>
      </c>
      <c r="J470" s="48" t="s">
        <v>305</v>
      </c>
      <c r="K470" s="41">
        <f t="shared" si="38"/>
        <v>1164</v>
      </c>
    </row>
    <row r="471" spans="4:11" s="41" customFormat="1">
      <c r="D471" s="51" t="s">
        <v>1121</v>
      </c>
      <c r="E471" s="44"/>
      <c r="F471" s="44"/>
      <c r="G471" s="41">
        <f t="shared" si="37"/>
        <v>1165</v>
      </c>
      <c r="H471" s="45">
        <f t="shared" si="39"/>
        <v>2</v>
      </c>
      <c r="I471" s="47" t="s">
        <v>351</v>
      </c>
      <c r="J471" s="48" t="s">
        <v>305</v>
      </c>
      <c r="K471" s="41">
        <f t="shared" si="38"/>
        <v>1166</v>
      </c>
    </row>
    <row r="472" spans="4:11" s="41" customFormat="1">
      <c r="D472" s="51" t="s">
        <v>1120</v>
      </c>
      <c r="E472" s="44"/>
      <c r="F472" s="44"/>
      <c r="G472" s="41">
        <f t="shared" si="37"/>
        <v>1167</v>
      </c>
      <c r="H472" s="45">
        <f t="shared" si="39"/>
        <v>2</v>
      </c>
      <c r="I472" s="47" t="s">
        <v>351</v>
      </c>
      <c r="J472" s="48" t="s">
        <v>305</v>
      </c>
      <c r="K472" s="41">
        <f t="shared" si="38"/>
        <v>1168</v>
      </c>
    </row>
    <row r="473" spans="4:11" s="41" customFormat="1">
      <c r="D473" s="51" t="s">
        <v>1119</v>
      </c>
      <c r="E473" s="44"/>
      <c r="F473" s="44"/>
      <c r="G473" s="41">
        <f t="shared" si="37"/>
        <v>1169</v>
      </c>
      <c r="H473" s="45">
        <f t="shared" si="39"/>
        <v>2</v>
      </c>
      <c r="I473" s="47" t="s">
        <v>351</v>
      </c>
      <c r="J473" s="48" t="s">
        <v>305</v>
      </c>
      <c r="K473" s="41">
        <f t="shared" si="38"/>
        <v>1170</v>
      </c>
    </row>
    <row r="474" spans="4:11" s="41" customFormat="1">
      <c r="D474" s="51" t="s">
        <v>1118</v>
      </c>
      <c r="E474" s="44"/>
      <c r="F474" s="44"/>
      <c r="G474" s="41">
        <f t="shared" si="37"/>
        <v>1171</v>
      </c>
      <c r="H474" s="45">
        <f t="shared" si="39"/>
        <v>2</v>
      </c>
      <c r="I474" s="47" t="s">
        <v>351</v>
      </c>
      <c r="J474" s="48" t="s">
        <v>305</v>
      </c>
      <c r="K474" s="41">
        <f t="shared" si="38"/>
        <v>1172</v>
      </c>
    </row>
    <row r="475" spans="4:11" s="41" customFormat="1">
      <c r="D475" s="51" t="s">
        <v>1117</v>
      </c>
      <c r="E475" s="44"/>
      <c r="F475" s="44"/>
      <c r="G475" s="41">
        <f t="shared" si="37"/>
        <v>1173</v>
      </c>
      <c r="H475" s="45">
        <f t="shared" si="39"/>
        <v>2</v>
      </c>
      <c r="I475" s="47" t="s">
        <v>351</v>
      </c>
      <c r="J475" s="48" t="s">
        <v>305</v>
      </c>
      <c r="K475" s="41">
        <f t="shared" si="38"/>
        <v>1174</v>
      </c>
    </row>
    <row r="476" spans="4:11" s="41" customFormat="1">
      <c r="D476" s="51" t="s">
        <v>1116</v>
      </c>
      <c r="E476" s="44"/>
      <c r="F476" s="44"/>
      <c r="G476" s="41">
        <f t="shared" si="37"/>
        <v>1175</v>
      </c>
      <c r="H476" s="45">
        <f t="shared" si="39"/>
        <v>2</v>
      </c>
      <c r="I476" s="47" t="s">
        <v>351</v>
      </c>
      <c r="J476" s="48" t="s">
        <v>305</v>
      </c>
      <c r="K476" s="41">
        <f t="shared" si="38"/>
        <v>1176</v>
      </c>
    </row>
    <row r="477" spans="4:11" s="41" customFormat="1">
      <c r="D477" s="51" t="s">
        <v>1115</v>
      </c>
      <c r="E477" s="44"/>
      <c r="F477" s="44"/>
      <c r="G477" s="41">
        <f t="shared" si="37"/>
        <v>1177</v>
      </c>
      <c r="H477" s="45">
        <f t="shared" si="39"/>
        <v>2</v>
      </c>
      <c r="I477" s="47" t="s">
        <v>351</v>
      </c>
      <c r="J477" s="48" t="s">
        <v>305</v>
      </c>
      <c r="K477" s="41">
        <f t="shared" si="38"/>
        <v>1178</v>
      </c>
    </row>
    <row r="478" spans="4:11" s="41" customFormat="1">
      <c r="D478" s="51" t="s">
        <v>1114</v>
      </c>
      <c r="E478" s="44"/>
      <c r="F478" s="44"/>
      <c r="G478" s="41">
        <f t="shared" si="37"/>
        <v>1179</v>
      </c>
      <c r="H478" s="45">
        <f t="shared" si="39"/>
        <v>2</v>
      </c>
      <c r="I478" s="47" t="s">
        <v>351</v>
      </c>
      <c r="J478" s="48" t="s">
        <v>305</v>
      </c>
      <c r="K478" s="41">
        <f t="shared" si="38"/>
        <v>1180</v>
      </c>
    </row>
    <row r="479" spans="4:11" s="41" customFormat="1">
      <c r="D479" s="51" t="s">
        <v>1113</v>
      </c>
      <c r="E479" s="44"/>
      <c r="F479" s="44"/>
      <c r="G479" s="41">
        <v>1201</v>
      </c>
      <c r="H479" s="45">
        <f t="shared" si="39"/>
        <v>2</v>
      </c>
      <c r="I479" s="47" t="s">
        <v>351</v>
      </c>
      <c r="J479" s="48" t="s">
        <v>10</v>
      </c>
      <c r="K479" s="41">
        <v>1202</v>
      </c>
    </row>
    <row r="480" spans="4:11" s="41" customFormat="1">
      <c r="D480" s="51" t="s">
        <v>1112</v>
      </c>
      <c r="E480" s="44"/>
      <c r="F480" s="44"/>
      <c r="G480" s="41">
        <f t="shared" ref="G480:G518" si="40">G479+2</f>
        <v>1203</v>
      </c>
      <c r="H480" s="45">
        <f t="shared" si="39"/>
        <v>2</v>
      </c>
      <c r="I480" s="47" t="s">
        <v>351</v>
      </c>
      <c r="J480" s="48" t="s">
        <v>305</v>
      </c>
      <c r="K480" s="41">
        <f t="shared" ref="K480:K518" si="41">K479 +2</f>
        <v>1204</v>
      </c>
    </row>
    <row r="481" spans="4:11" s="41" customFormat="1">
      <c r="D481" s="51" t="s">
        <v>1111</v>
      </c>
      <c r="E481" s="44"/>
      <c r="F481" s="44"/>
      <c r="G481" s="41">
        <f t="shared" si="40"/>
        <v>1205</v>
      </c>
      <c r="H481" s="45">
        <f t="shared" si="39"/>
        <v>2</v>
      </c>
      <c r="I481" s="47" t="s">
        <v>351</v>
      </c>
      <c r="J481" s="48" t="s">
        <v>305</v>
      </c>
      <c r="K481" s="41">
        <f t="shared" si="41"/>
        <v>1206</v>
      </c>
    </row>
    <row r="482" spans="4:11" s="41" customFormat="1">
      <c r="D482" s="51" t="s">
        <v>1110</v>
      </c>
      <c r="E482" s="44"/>
      <c r="F482" s="44"/>
      <c r="G482" s="41">
        <f t="shared" si="40"/>
        <v>1207</v>
      </c>
      <c r="H482" s="45">
        <f t="shared" si="39"/>
        <v>2</v>
      </c>
      <c r="I482" s="47" t="s">
        <v>351</v>
      </c>
      <c r="J482" s="48" t="s">
        <v>305</v>
      </c>
      <c r="K482" s="41">
        <f t="shared" si="41"/>
        <v>1208</v>
      </c>
    </row>
    <row r="483" spans="4:11" s="41" customFormat="1">
      <c r="D483" s="51" t="s">
        <v>1109</v>
      </c>
      <c r="E483" s="44"/>
      <c r="F483" s="44"/>
      <c r="G483" s="41">
        <f t="shared" si="40"/>
        <v>1209</v>
      </c>
      <c r="H483" s="45">
        <f t="shared" si="39"/>
        <v>2</v>
      </c>
      <c r="I483" s="47" t="s">
        <v>351</v>
      </c>
      <c r="J483" s="48" t="s">
        <v>305</v>
      </c>
      <c r="K483" s="41">
        <f t="shared" si="41"/>
        <v>1210</v>
      </c>
    </row>
    <row r="484" spans="4:11" s="41" customFormat="1">
      <c r="D484" s="51" t="s">
        <v>1108</v>
      </c>
      <c r="E484" s="44"/>
      <c r="F484" s="44"/>
      <c r="G484" s="41">
        <f t="shared" si="40"/>
        <v>1211</v>
      </c>
      <c r="H484" s="45">
        <f t="shared" si="39"/>
        <v>2</v>
      </c>
      <c r="I484" s="47" t="s">
        <v>351</v>
      </c>
      <c r="J484" s="48" t="s">
        <v>305</v>
      </c>
      <c r="K484" s="41">
        <f t="shared" si="41"/>
        <v>1212</v>
      </c>
    </row>
    <row r="485" spans="4:11" s="41" customFormat="1">
      <c r="D485" s="51" t="s">
        <v>1107</v>
      </c>
      <c r="E485" s="44"/>
      <c r="F485" s="44"/>
      <c r="G485" s="41">
        <f t="shared" si="40"/>
        <v>1213</v>
      </c>
      <c r="H485" s="45">
        <f t="shared" si="39"/>
        <v>2</v>
      </c>
      <c r="I485" s="47" t="s">
        <v>351</v>
      </c>
      <c r="J485" s="48" t="s">
        <v>305</v>
      </c>
      <c r="K485" s="41">
        <f t="shared" si="41"/>
        <v>1214</v>
      </c>
    </row>
    <row r="486" spans="4:11" s="41" customFormat="1">
      <c r="D486" s="51" t="s">
        <v>1106</v>
      </c>
      <c r="E486" s="44"/>
      <c r="F486" s="44"/>
      <c r="G486" s="41">
        <f t="shared" si="40"/>
        <v>1215</v>
      </c>
      <c r="H486" s="45">
        <f t="shared" si="39"/>
        <v>2</v>
      </c>
      <c r="I486" s="47" t="s">
        <v>351</v>
      </c>
      <c r="J486" s="48" t="s">
        <v>305</v>
      </c>
      <c r="K486" s="41">
        <f t="shared" si="41"/>
        <v>1216</v>
      </c>
    </row>
    <row r="487" spans="4:11" s="41" customFormat="1">
      <c r="D487" s="51" t="s">
        <v>1105</v>
      </c>
      <c r="E487" s="44"/>
      <c r="F487" s="44"/>
      <c r="G487" s="41">
        <f t="shared" si="40"/>
        <v>1217</v>
      </c>
      <c r="H487" s="45">
        <f t="shared" si="39"/>
        <v>2</v>
      </c>
      <c r="I487" s="47" t="s">
        <v>351</v>
      </c>
      <c r="J487" s="48" t="s">
        <v>305</v>
      </c>
      <c r="K487" s="41">
        <f t="shared" si="41"/>
        <v>1218</v>
      </c>
    </row>
    <row r="488" spans="4:11" s="41" customFormat="1">
      <c r="D488" s="51" t="s">
        <v>1104</v>
      </c>
      <c r="E488" s="44"/>
      <c r="F488" s="44"/>
      <c r="G488" s="41">
        <f t="shared" si="40"/>
        <v>1219</v>
      </c>
      <c r="H488" s="45">
        <f t="shared" si="39"/>
        <v>2</v>
      </c>
      <c r="I488" s="47" t="s">
        <v>351</v>
      </c>
      <c r="J488" s="48" t="s">
        <v>305</v>
      </c>
      <c r="K488" s="41">
        <f t="shared" si="41"/>
        <v>1220</v>
      </c>
    </row>
    <row r="489" spans="4:11" s="41" customFormat="1">
      <c r="D489" s="51" t="s">
        <v>1103</v>
      </c>
      <c r="E489" s="44"/>
      <c r="F489" s="44"/>
      <c r="G489" s="41">
        <f t="shared" si="40"/>
        <v>1221</v>
      </c>
      <c r="H489" s="45">
        <f t="shared" si="39"/>
        <v>2</v>
      </c>
      <c r="I489" s="47" t="s">
        <v>351</v>
      </c>
      <c r="J489" s="48" t="s">
        <v>305</v>
      </c>
      <c r="K489" s="41">
        <f t="shared" si="41"/>
        <v>1222</v>
      </c>
    </row>
    <row r="490" spans="4:11" s="41" customFormat="1">
      <c r="D490" s="51" t="s">
        <v>1102</v>
      </c>
      <c r="E490" s="44"/>
      <c r="F490" s="44"/>
      <c r="G490" s="41">
        <f t="shared" si="40"/>
        <v>1223</v>
      </c>
      <c r="H490" s="45">
        <f t="shared" si="39"/>
        <v>2</v>
      </c>
      <c r="I490" s="47" t="s">
        <v>351</v>
      </c>
      <c r="J490" s="48" t="s">
        <v>305</v>
      </c>
      <c r="K490" s="41">
        <f t="shared" si="41"/>
        <v>1224</v>
      </c>
    </row>
    <row r="491" spans="4:11" s="41" customFormat="1">
      <c r="D491" s="51" t="s">
        <v>1101</v>
      </c>
      <c r="E491" s="44"/>
      <c r="F491" s="44"/>
      <c r="G491" s="41">
        <f t="shared" si="40"/>
        <v>1225</v>
      </c>
      <c r="H491" s="45">
        <f t="shared" si="39"/>
        <v>2</v>
      </c>
      <c r="I491" s="47" t="s">
        <v>351</v>
      </c>
      <c r="J491" s="48" t="s">
        <v>305</v>
      </c>
      <c r="K491" s="41">
        <f t="shared" si="41"/>
        <v>1226</v>
      </c>
    </row>
    <row r="492" spans="4:11" s="41" customFormat="1">
      <c r="D492" s="51" t="s">
        <v>1100</v>
      </c>
      <c r="E492" s="44"/>
      <c r="F492" s="44"/>
      <c r="G492" s="41">
        <f t="shared" si="40"/>
        <v>1227</v>
      </c>
      <c r="H492" s="45">
        <f t="shared" si="39"/>
        <v>2</v>
      </c>
      <c r="I492" s="47" t="s">
        <v>351</v>
      </c>
      <c r="J492" s="48" t="s">
        <v>305</v>
      </c>
      <c r="K492" s="41">
        <f t="shared" si="41"/>
        <v>1228</v>
      </c>
    </row>
    <row r="493" spans="4:11" s="41" customFormat="1">
      <c r="D493" s="51" t="s">
        <v>1099</v>
      </c>
      <c r="E493" s="44"/>
      <c r="F493" s="44"/>
      <c r="G493" s="41">
        <f t="shared" si="40"/>
        <v>1229</v>
      </c>
      <c r="H493" s="45">
        <f t="shared" si="39"/>
        <v>2</v>
      </c>
      <c r="I493" s="47" t="s">
        <v>351</v>
      </c>
      <c r="J493" s="48" t="s">
        <v>305</v>
      </c>
      <c r="K493" s="41">
        <f t="shared" si="41"/>
        <v>1230</v>
      </c>
    </row>
    <row r="494" spans="4:11" s="41" customFormat="1">
      <c r="D494" s="51" t="s">
        <v>1098</v>
      </c>
      <c r="E494" s="44"/>
      <c r="F494" s="44"/>
      <c r="G494" s="41">
        <f t="shared" si="40"/>
        <v>1231</v>
      </c>
      <c r="H494" s="45">
        <f t="shared" si="39"/>
        <v>2</v>
      </c>
      <c r="I494" s="47" t="s">
        <v>351</v>
      </c>
      <c r="J494" s="48" t="s">
        <v>305</v>
      </c>
      <c r="K494" s="41">
        <f t="shared" si="41"/>
        <v>1232</v>
      </c>
    </row>
    <row r="495" spans="4:11" s="41" customFormat="1">
      <c r="D495" s="51" t="s">
        <v>1097</v>
      </c>
      <c r="E495" s="44"/>
      <c r="F495" s="44"/>
      <c r="G495" s="41">
        <f t="shared" si="40"/>
        <v>1233</v>
      </c>
      <c r="H495" s="45">
        <f t="shared" ref="H495:H518" si="42">K495-G495+1</f>
        <v>2</v>
      </c>
      <c r="I495" s="47" t="s">
        <v>351</v>
      </c>
      <c r="J495" s="48" t="s">
        <v>305</v>
      </c>
      <c r="K495" s="41">
        <f t="shared" si="41"/>
        <v>1234</v>
      </c>
    </row>
    <row r="496" spans="4:11" s="41" customFormat="1">
      <c r="D496" s="51" t="s">
        <v>1096</v>
      </c>
      <c r="E496" s="44"/>
      <c r="F496" s="44"/>
      <c r="G496" s="41">
        <f t="shared" si="40"/>
        <v>1235</v>
      </c>
      <c r="H496" s="45">
        <f t="shared" si="42"/>
        <v>2</v>
      </c>
      <c r="I496" s="47" t="s">
        <v>351</v>
      </c>
      <c r="J496" s="48" t="s">
        <v>305</v>
      </c>
      <c r="K496" s="41">
        <f t="shared" si="41"/>
        <v>1236</v>
      </c>
    </row>
    <row r="497" spans="4:11" s="41" customFormat="1">
      <c r="D497" s="51" t="s">
        <v>1095</v>
      </c>
      <c r="E497" s="44"/>
      <c r="F497" s="44"/>
      <c r="G497" s="41">
        <f t="shared" si="40"/>
        <v>1237</v>
      </c>
      <c r="H497" s="45">
        <f t="shared" si="42"/>
        <v>2</v>
      </c>
      <c r="I497" s="47" t="s">
        <v>351</v>
      </c>
      <c r="J497" s="48" t="s">
        <v>305</v>
      </c>
      <c r="K497" s="41">
        <f t="shared" si="41"/>
        <v>1238</v>
      </c>
    </row>
    <row r="498" spans="4:11" s="41" customFormat="1">
      <c r="D498" s="51" t="s">
        <v>1094</v>
      </c>
      <c r="E498" s="44"/>
      <c r="F498" s="44"/>
      <c r="G498" s="41">
        <f t="shared" si="40"/>
        <v>1239</v>
      </c>
      <c r="H498" s="45">
        <f t="shared" si="42"/>
        <v>2</v>
      </c>
      <c r="I498" s="47" t="s">
        <v>351</v>
      </c>
      <c r="J498" s="48" t="s">
        <v>305</v>
      </c>
      <c r="K498" s="41">
        <f t="shared" si="41"/>
        <v>1240</v>
      </c>
    </row>
    <row r="499" spans="4:11" s="41" customFormat="1">
      <c r="D499" s="51" t="s">
        <v>1093</v>
      </c>
      <c r="E499" s="44"/>
      <c r="F499" s="44"/>
      <c r="G499" s="41">
        <f t="shared" si="40"/>
        <v>1241</v>
      </c>
      <c r="H499" s="45">
        <f t="shared" si="42"/>
        <v>2</v>
      </c>
      <c r="I499" s="47" t="s">
        <v>351</v>
      </c>
      <c r="J499" s="48" t="s">
        <v>305</v>
      </c>
      <c r="K499" s="41">
        <f t="shared" si="41"/>
        <v>1242</v>
      </c>
    </row>
    <row r="500" spans="4:11" s="41" customFormat="1">
      <c r="D500" s="51" t="s">
        <v>1092</v>
      </c>
      <c r="E500" s="44"/>
      <c r="F500" s="44"/>
      <c r="G500" s="41">
        <f t="shared" si="40"/>
        <v>1243</v>
      </c>
      <c r="H500" s="45">
        <f t="shared" si="42"/>
        <v>2</v>
      </c>
      <c r="I500" s="47" t="s">
        <v>351</v>
      </c>
      <c r="J500" s="48" t="s">
        <v>305</v>
      </c>
      <c r="K500" s="41">
        <f t="shared" si="41"/>
        <v>1244</v>
      </c>
    </row>
    <row r="501" spans="4:11" s="41" customFormat="1">
      <c r="D501" s="51" t="s">
        <v>1091</v>
      </c>
      <c r="E501" s="44"/>
      <c r="F501" s="44"/>
      <c r="G501" s="41">
        <f t="shared" si="40"/>
        <v>1245</v>
      </c>
      <c r="H501" s="45">
        <f t="shared" si="42"/>
        <v>2</v>
      </c>
      <c r="I501" s="47" t="s">
        <v>351</v>
      </c>
      <c r="J501" s="48" t="s">
        <v>305</v>
      </c>
      <c r="K501" s="41">
        <f t="shared" si="41"/>
        <v>1246</v>
      </c>
    </row>
    <row r="502" spans="4:11" s="41" customFormat="1">
      <c r="D502" s="51" t="s">
        <v>1090</v>
      </c>
      <c r="E502" s="44"/>
      <c r="F502" s="44"/>
      <c r="G502" s="41">
        <f t="shared" si="40"/>
        <v>1247</v>
      </c>
      <c r="H502" s="45">
        <f t="shared" si="42"/>
        <v>2</v>
      </c>
      <c r="I502" s="47" t="s">
        <v>351</v>
      </c>
      <c r="J502" s="48" t="s">
        <v>305</v>
      </c>
      <c r="K502" s="41">
        <f t="shared" si="41"/>
        <v>1248</v>
      </c>
    </row>
    <row r="503" spans="4:11" s="41" customFormat="1">
      <c r="D503" s="51" t="s">
        <v>1089</v>
      </c>
      <c r="E503" s="44"/>
      <c r="F503" s="44"/>
      <c r="G503" s="41">
        <f t="shared" si="40"/>
        <v>1249</v>
      </c>
      <c r="H503" s="45">
        <f t="shared" si="42"/>
        <v>2</v>
      </c>
      <c r="I503" s="47" t="s">
        <v>351</v>
      </c>
      <c r="J503" s="48" t="s">
        <v>305</v>
      </c>
      <c r="K503" s="41">
        <f t="shared" si="41"/>
        <v>1250</v>
      </c>
    </row>
    <row r="504" spans="4:11" s="41" customFormat="1">
      <c r="D504" s="51" t="s">
        <v>1088</v>
      </c>
      <c r="E504" s="44"/>
      <c r="F504" s="44"/>
      <c r="G504" s="41">
        <f t="shared" si="40"/>
        <v>1251</v>
      </c>
      <c r="H504" s="45">
        <f t="shared" si="42"/>
        <v>2</v>
      </c>
      <c r="I504" s="47" t="s">
        <v>351</v>
      </c>
      <c r="J504" s="48" t="s">
        <v>305</v>
      </c>
      <c r="K504" s="41">
        <f t="shared" si="41"/>
        <v>1252</v>
      </c>
    </row>
    <row r="505" spans="4:11" s="41" customFormat="1">
      <c r="D505" s="51" t="s">
        <v>1087</v>
      </c>
      <c r="E505" s="44"/>
      <c r="F505" s="44"/>
      <c r="G505" s="41">
        <f t="shared" si="40"/>
        <v>1253</v>
      </c>
      <c r="H505" s="45">
        <f t="shared" si="42"/>
        <v>2</v>
      </c>
      <c r="I505" s="47" t="s">
        <v>351</v>
      </c>
      <c r="J505" s="48" t="s">
        <v>305</v>
      </c>
      <c r="K505" s="41">
        <f t="shared" si="41"/>
        <v>1254</v>
      </c>
    </row>
    <row r="506" spans="4:11" s="41" customFormat="1">
      <c r="D506" s="51" t="s">
        <v>1086</v>
      </c>
      <c r="E506" s="44"/>
      <c r="F506" s="44"/>
      <c r="G506" s="41">
        <f t="shared" si="40"/>
        <v>1255</v>
      </c>
      <c r="H506" s="45">
        <f t="shared" si="42"/>
        <v>2</v>
      </c>
      <c r="I506" s="47" t="s">
        <v>351</v>
      </c>
      <c r="J506" s="48" t="s">
        <v>305</v>
      </c>
      <c r="K506" s="41">
        <f t="shared" si="41"/>
        <v>1256</v>
      </c>
    </row>
    <row r="507" spans="4:11" s="41" customFormat="1">
      <c r="D507" s="51" t="s">
        <v>1085</v>
      </c>
      <c r="E507" s="44"/>
      <c r="F507" s="44"/>
      <c r="G507" s="41">
        <f t="shared" si="40"/>
        <v>1257</v>
      </c>
      <c r="H507" s="45">
        <f t="shared" si="42"/>
        <v>2</v>
      </c>
      <c r="I507" s="47" t="s">
        <v>351</v>
      </c>
      <c r="J507" s="48" t="s">
        <v>305</v>
      </c>
      <c r="K507" s="41">
        <f t="shared" si="41"/>
        <v>1258</v>
      </c>
    </row>
    <row r="508" spans="4:11" s="41" customFormat="1">
      <c r="D508" s="51" t="s">
        <v>1084</v>
      </c>
      <c r="E508" s="44"/>
      <c r="F508" s="44"/>
      <c r="G508" s="41">
        <f t="shared" si="40"/>
        <v>1259</v>
      </c>
      <c r="H508" s="45">
        <f t="shared" si="42"/>
        <v>2</v>
      </c>
      <c r="I508" s="47" t="s">
        <v>351</v>
      </c>
      <c r="J508" s="48" t="s">
        <v>305</v>
      </c>
      <c r="K508" s="41">
        <f t="shared" si="41"/>
        <v>1260</v>
      </c>
    </row>
    <row r="509" spans="4:11" s="41" customFormat="1">
      <c r="D509" s="51" t="s">
        <v>1083</v>
      </c>
      <c r="E509" s="44"/>
      <c r="F509" s="44"/>
      <c r="G509" s="41">
        <f t="shared" si="40"/>
        <v>1261</v>
      </c>
      <c r="H509" s="45">
        <f t="shared" si="42"/>
        <v>2</v>
      </c>
      <c r="I509" s="47" t="s">
        <v>351</v>
      </c>
      <c r="J509" s="48" t="s">
        <v>305</v>
      </c>
      <c r="K509" s="41">
        <f t="shared" si="41"/>
        <v>1262</v>
      </c>
    </row>
    <row r="510" spans="4:11" s="41" customFormat="1">
      <c r="D510" s="51" t="s">
        <v>1082</v>
      </c>
      <c r="E510" s="44"/>
      <c r="F510" s="44"/>
      <c r="G510" s="41">
        <f t="shared" si="40"/>
        <v>1263</v>
      </c>
      <c r="H510" s="45">
        <f t="shared" si="42"/>
        <v>2</v>
      </c>
      <c r="I510" s="47" t="s">
        <v>351</v>
      </c>
      <c r="J510" s="48" t="s">
        <v>305</v>
      </c>
      <c r="K510" s="41">
        <f t="shared" si="41"/>
        <v>1264</v>
      </c>
    </row>
    <row r="511" spans="4:11" s="41" customFormat="1">
      <c r="D511" s="51" t="s">
        <v>1081</v>
      </c>
      <c r="E511" s="44"/>
      <c r="F511" s="44"/>
      <c r="G511" s="41">
        <f t="shared" si="40"/>
        <v>1265</v>
      </c>
      <c r="H511" s="45">
        <f t="shared" si="42"/>
        <v>2</v>
      </c>
      <c r="I511" s="47" t="s">
        <v>351</v>
      </c>
      <c r="J511" s="48" t="s">
        <v>305</v>
      </c>
      <c r="K511" s="41">
        <f t="shared" si="41"/>
        <v>1266</v>
      </c>
    </row>
    <row r="512" spans="4:11" s="41" customFormat="1">
      <c r="D512" s="51" t="s">
        <v>1080</v>
      </c>
      <c r="E512" s="44"/>
      <c r="F512" s="44"/>
      <c r="G512" s="41">
        <f t="shared" si="40"/>
        <v>1267</v>
      </c>
      <c r="H512" s="45">
        <f t="shared" si="42"/>
        <v>2</v>
      </c>
      <c r="I512" s="47" t="s">
        <v>351</v>
      </c>
      <c r="J512" s="48" t="s">
        <v>305</v>
      </c>
      <c r="K512" s="41">
        <f t="shared" si="41"/>
        <v>1268</v>
      </c>
    </row>
    <row r="513" spans="1:11" s="41" customFormat="1">
      <c r="D513" s="51" t="s">
        <v>1079</v>
      </c>
      <c r="E513" s="44"/>
      <c r="F513" s="44"/>
      <c r="G513" s="41">
        <f t="shared" si="40"/>
        <v>1269</v>
      </c>
      <c r="H513" s="45">
        <f t="shared" si="42"/>
        <v>2</v>
      </c>
      <c r="I513" s="47" t="s">
        <v>351</v>
      </c>
      <c r="J513" s="48" t="s">
        <v>305</v>
      </c>
      <c r="K513" s="41">
        <f t="shared" si="41"/>
        <v>1270</v>
      </c>
    </row>
    <row r="514" spans="1:11" s="41" customFormat="1">
      <c r="D514" s="51" t="s">
        <v>1078</v>
      </c>
      <c r="E514" s="44"/>
      <c r="F514" s="44"/>
      <c r="G514" s="41">
        <f t="shared" si="40"/>
        <v>1271</v>
      </c>
      <c r="H514" s="45">
        <f t="shared" si="42"/>
        <v>2</v>
      </c>
      <c r="I514" s="47" t="s">
        <v>351</v>
      </c>
      <c r="J514" s="48" t="s">
        <v>305</v>
      </c>
      <c r="K514" s="41">
        <f t="shared" si="41"/>
        <v>1272</v>
      </c>
    </row>
    <row r="515" spans="1:11" s="41" customFormat="1">
      <c r="D515" s="51" t="s">
        <v>1077</v>
      </c>
      <c r="E515" s="44"/>
      <c r="F515" s="44"/>
      <c r="G515" s="41">
        <f t="shared" si="40"/>
        <v>1273</v>
      </c>
      <c r="H515" s="45">
        <f t="shared" si="42"/>
        <v>2</v>
      </c>
      <c r="I515" s="47" t="s">
        <v>351</v>
      </c>
      <c r="J515" s="48" t="s">
        <v>305</v>
      </c>
      <c r="K515" s="41">
        <f t="shared" si="41"/>
        <v>1274</v>
      </c>
    </row>
    <row r="516" spans="1:11" s="41" customFormat="1">
      <c r="D516" s="51" t="s">
        <v>1076</v>
      </c>
      <c r="E516" s="44"/>
      <c r="F516" s="44"/>
      <c r="G516" s="41">
        <f t="shared" si="40"/>
        <v>1275</v>
      </c>
      <c r="H516" s="45">
        <f t="shared" si="42"/>
        <v>2</v>
      </c>
      <c r="I516" s="47" t="s">
        <v>351</v>
      </c>
      <c r="J516" s="48" t="s">
        <v>305</v>
      </c>
      <c r="K516" s="41">
        <f t="shared" si="41"/>
        <v>1276</v>
      </c>
    </row>
    <row r="517" spans="1:11" s="41" customFormat="1">
      <c r="D517" s="51" t="s">
        <v>1075</v>
      </c>
      <c r="E517" s="44"/>
      <c r="F517" s="44"/>
      <c r="G517" s="41">
        <f t="shared" si="40"/>
        <v>1277</v>
      </c>
      <c r="H517" s="45">
        <f t="shared" si="42"/>
        <v>2</v>
      </c>
      <c r="I517" s="47" t="s">
        <v>351</v>
      </c>
      <c r="J517" s="48" t="s">
        <v>305</v>
      </c>
      <c r="K517" s="41">
        <f t="shared" si="41"/>
        <v>1278</v>
      </c>
    </row>
    <row r="518" spans="1:11" s="41" customFormat="1">
      <c r="D518" s="51" t="s">
        <v>1074</v>
      </c>
      <c r="E518" s="44"/>
      <c r="F518" s="44"/>
      <c r="G518" s="41">
        <f t="shared" si="40"/>
        <v>1279</v>
      </c>
      <c r="H518" s="45">
        <f t="shared" si="42"/>
        <v>2</v>
      </c>
      <c r="I518" s="47" t="s">
        <v>351</v>
      </c>
      <c r="J518" s="48" t="s">
        <v>305</v>
      </c>
      <c r="K518" s="41">
        <f t="shared" si="41"/>
        <v>1280</v>
      </c>
    </row>
    <row r="519" spans="1:11" s="41" customFormat="1">
      <c r="D519" s="51"/>
      <c r="E519" s="44"/>
      <c r="F519" s="44"/>
      <c r="H519" s="44"/>
      <c r="I519" s="44"/>
      <c r="J519" s="44"/>
    </row>
    <row r="520" spans="1:11" s="43" customFormat="1">
      <c r="A520" s="39"/>
      <c r="B520" s="42" t="s">
        <v>1318</v>
      </c>
      <c r="C520" s="42"/>
      <c r="D520" s="52"/>
      <c r="E520" s="45"/>
      <c r="F520" s="45"/>
      <c r="G520" s="42"/>
      <c r="H520" s="45"/>
      <c r="I520" s="45"/>
      <c r="J520" s="49"/>
      <c r="K520" s="42"/>
    </row>
    <row r="521" spans="1:11" s="41" customFormat="1">
      <c r="D521" s="51" t="s">
        <v>1073</v>
      </c>
      <c r="E521" s="44"/>
      <c r="F521" s="44"/>
      <c r="G521" s="41">
        <v>1401</v>
      </c>
      <c r="H521" s="45">
        <f t="shared" ref="H521:H552" si="43">K521-G521+1</f>
        <v>2</v>
      </c>
      <c r="I521" s="47" t="s">
        <v>351</v>
      </c>
      <c r="J521" s="48" t="s">
        <v>33</v>
      </c>
      <c r="K521" s="41">
        <v>1402</v>
      </c>
    </row>
    <row r="522" spans="1:11" s="41" customFormat="1">
      <c r="D522" s="51" t="s">
        <v>1072</v>
      </c>
      <c r="E522" s="44"/>
      <c r="F522" s="44"/>
      <c r="G522" s="41">
        <f t="shared" ref="G522:G560" si="44">G521+2</f>
        <v>1403</v>
      </c>
      <c r="H522" s="45">
        <f t="shared" si="43"/>
        <v>2</v>
      </c>
      <c r="I522" s="47" t="s">
        <v>351</v>
      </c>
      <c r="J522" s="48" t="s">
        <v>33</v>
      </c>
      <c r="K522" s="41">
        <f t="shared" ref="K522:K560" si="45">K521+2</f>
        <v>1404</v>
      </c>
    </row>
    <row r="523" spans="1:11" s="41" customFormat="1">
      <c r="D523" s="51" t="s">
        <v>1071</v>
      </c>
      <c r="E523" s="44"/>
      <c r="F523" s="44"/>
      <c r="G523" s="41">
        <f t="shared" si="44"/>
        <v>1405</v>
      </c>
      <c r="H523" s="45">
        <f t="shared" si="43"/>
        <v>2</v>
      </c>
      <c r="I523" s="47" t="s">
        <v>351</v>
      </c>
      <c r="J523" s="48" t="s">
        <v>33</v>
      </c>
      <c r="K523" s="41">
        <f t="shared" si="45"/>
        <v>1406</v>
      </c>
    </row>
    <row r="524" spans="1:11" s="41" customFormat="1">
      <c r="D524" s="51" t="s">
        <v>1070</v>
      </c>
      <c r="E524" s="44"/>
      <c r="F524" s="44"/>
      <c r="G524" s="41">
        <f t="shared" si="44"/>
        <v>1407</v>
      </c>
      <c r="H524" s="45">
        <f t="shared" si="43"/>
        <v>2</v>
      </c>
      <c r="I524" s="47" t="s">
        <v>351</v>
      </c>
      <c r="J524" s="48" t="s">
        <v>33</v>
      </c>
      <c r="K524" s="41">
        <f t="shared" si="45"/>
        <v>1408</v>
      </c>
    </row>
    <row r="525" spans="1:11" s="41" customFormat="1">
      <c r="D525" s="51" t="s">
        <v>1069</v>
      </c>
      <c r="E525" s="44"/>
      <c r="F525" s="44"/>
      <c r="G525" s="41">
        <f t="shared" si="44"/>
        <v>1409</v>
      </c>
      <c r="H525" s="45">
        <f t="shared" si="43"/>
        <v>2</v>
      </c>
      <c r="I525" s="47" t="s">
        <v>351</v>
      </c>
      <c r="J525" s="48" t="s">
        <v>33</v>
      </c>
      <c r="K525" s="41">
        <f t="shared" si="45"/>
        <v>1410</v>
      </c>
    </row>
    <row r="526" spans="1:11" s="41" customFormat="1">
      <c r="D526" s="51" t="s">
        <v>1068</v>
      </c>
      <c r="E526" s="44"/>
      <c r="F526" s="44"/>
      <c r="G526" s="41">
        <f t="shared" si="44"/>
        <v>1411</v>
      </c>
      <c r="H526" s="45">
        <f t="shared" si="43"/>
        <v>2</v>
      </c>
      <c r="I526" s="47" t="s">
        <v>351</v>
      </c>
      <c r="J526" s="48" t="s">
        <v>33</v>
      </c>
      <c r="K526" s="41">
        <f t="shared" si="45"/>
        <v>1412</v>
      </c>
    </row>
    <row r="527" spans="1:11" s="41" customFormat="1">
      <c r="D527" s="51" t="s">
        <v>1067</v>
      </c>
      <c r="E527" s="44"/>
      <c r="F527" s="44"/>
      <c r="G527" s="41">
        <f t="shared" si="44"/>
        <v>1413</v>
      </c>
      <c r="H527" s="45">
        <f t="shared" si="43"/>
        <v>2</v>
      </c>
      <c r="I527" s="47" t="s">
        <v>351</v>
      </c>
      <c r="J527" s="48" t="s">
        <v>33</v>
      </c>
      <c r="K527" s="41">
        <f t="shared" si="45"/>
        <v>1414</v>
      </c>
    </row>
    <row r="528" spans="1:11" s="41" customFormat="1">
      <c r="D528" s="51" t="s">
        <v>1066</v>
      </c>
      <c r="E528" s="44"/>
      <c r="F528" s="44"/>
      <c r="G528" s="41">
        <f t="shared" si="44"/>
        <v>1415</v>
      </c>
      <c r="H528" s="45">
        <f t="shared" si="43"/>
        <v>2</v>
      </c>
      <c r="I528" s="47" t="s">
        <v>351</v>
      </c>
      <c r="J528" s="48" t="s">
        <v>33</v>
      </c>
      <c r="K528" s="41">
        <f t="shared" si="45"/>
        <v>1416</v>
      </c>
    </row>
    <row r="529" spans="4:11" s="41" customFormat="1">
      <c r="D529" s="51" t="s">
        <v>1065</v>
      </c>
      <c r="E529" s="44"/>
      <c r="F529" s="44"/>
      <c r="G529" s="41">
        <f t="shared" si="44"/>
        <v>1417</v>
      </c>
      <c r="H529" s="45">
        <f t="shared" si="43"/>
        <v>2</v>
      </c>
      <c r="I529" s="47" t="s">
        <v>351</v>
      </c>
      <c r="J529" s="48" t="s">
        <v>33</v>
      </c>
      <c r="K529" s="41">
        <f t="shared" si="45"/>
        <v>1418</v>
      </c>
    </row>
    <row r="530" spans="4:11" s="41" customFormat="1">
      <c r="D530" s="51" t="s">
        <v>1064</v>
      </c>
      <c r="E530" s="44"/>
      <c r="F530" s="44"/>
      <c r="G530" s="41">
        <f t="shared" si="44"/>
        <v>1419</v>
      </c>
      <c r="H530" s="45">
        <f t="shared" si="43"/>
        <v>2</v>
      </c>
      <c r="I530" s="47" t="s">
        <v>351</v>
      </c>
      <c r="J530" s="48" t="s">
        <v>33</v>
      </c>
      <c r="K530" s="41">
        <f t="shared" si="45"/>
        <v>1420</v>
      </c>
    </row>
    <row r="531" spans="4:11" s="41" customFormat="1">
      <c r="D531" s="51" t="s">
        <v>1063</v>
      </c>
      <c r="E531" s="44"/>
      <c r="F531" s="44"/>
      <c r="G531" s="41">
        <f t="shared" si="44"/>
        <v>1421</v>
      </c>
      <c r="H531" s="45">
        <f t="shared" si="43"/>
        <v>2</v>
      </c>
      <c r="I531" s="47" t="s">
        <v>351</v>
      </c>
      <c r="J531" s="48" t="s">
        <v>33</v>
      </c>
      <c r="K531" s="41">
        <f t="shared" si="45"/>
        <v>1422</v>
      </c>
    </row>
    <row r="532" spans="4:11" s="41" customFormat="1">
      <c r="D532" s="51" t="s">
        <v>1062</v>
      </c>
      <c r="E532" s="44"/>
      <c r="F532" s="44"/>
      <c r="G532" s="41">
        <f t="shared" si="44"/>
        <v>1423</v>
      </c>
      <c r="H532" s="45">
        <f t="shared" si="43"/>
        <v>2</v>
      </c>
      <c r="I532" s="47" t="s">
        <v>351</v>
      </c>
      <c r="J532" s="48" t="s">
        <v>33</v>
      </c>
      <c r="K532" s="41">
        <f t="shared" si="45"/>
        <v>1424</v>
      </c>
    </row>
    <row r="533" spans="4:11" s="41" customFormat="1">
      <c r="D533" s="51" t="s">
        <v>1061</v>
      </c>
      <c r="E533" s="44"/>
      <c r="F533" s="44"/>
      <c r="G533" s="41">
        <f t="shared" si="44"/>
        <v>1425</v>
      </c>
      <c r="H533" s="45">
        <f t="shared" si="43"/>
        <v>2</v>
      </c>
      <c r="I533" s="47" t="s">
        <v>351</v>
      </c>
      <c r="J533" s="48" t="s">
        <v>33</v>
      </c>
      <c r="K533" s="41">
        <f t="shared" si="45"/>
        <v>1426</v>
      </c>
    </row>
    <row r="534" spans="4:11" s="41" customFormat="1">
      <c r="D534" s="51" t="s">
        <v>1060</v>
      </c>
      <c r="E534" s="44"/>
      <c r="F534" s="44"/>
      <c r="G534" s="41">
        <f t="shared" si="44"/>
        <v>1427</v>
      </c>
      <c r="H534" s="45">
        <f t="shared" si="43"/>
        <v>2</v>
      </c>
      <c r="I534" s="47" t="s">
        <v>351</v>
      </c>
      <c r="J534" s="48" t="s">
        <v>33</v>
      </c>
      <c r="K534" s="41">
        <f t="shared" si="45"/>
        <v>1428</v>
      </c>
    </row>
    <row r="535" spans="4:11" s="41" customFormat="1">
      <c r="D535" s="51" t="s">
        <v>1059</v>
      </c>
      <c r="E535" s="44"/>
      <c r="F535" s="44"/>
      <c r="G535" s="41">
        <f t="shared" si="44"/>
        <v>1429</v>
      </c>
      <c r="H535" s="45">
        <f t="shared" si="43"/>
        <v>2</v>
      </c>
      <c r="I535" s="47" t="s">
        <v>351</v>
      </c>
      <c r="J535" s="48" t="s">
        <v>33</v>
      </c>
      <c r="K535" s="41">
        <f t="shared" si="45"/>
        <v>1430</v>
      </c>
    </row>
    <row r="536" spans="4:11" s="41" customFormat="1">
      <c r="D536" s="51" t="s">
        <v>1058</v>
      </c>
      <c r="E536" s="44"/>
      <c r="F536" s="44"/>
      <c r="G536" s="41">
        <f t="shared" si="44"/>
        <v>1431</v>
      </c>
      <c r="H536" s="45">
        <f t="shared" si="43"/>
        <v>2</v>
      </c>
      <c r="I536" s="47" t="s">
        <v>351</v>
      </c>
      <c r="J536" s="48" t="s">
        <v>33</v>
      </c>
      <c r="K536" s="41">
        <f t="shared" si="45"/>
        <v>1432</v>
      </c>
    </row>
    <row r="537" spans="4:11" s="41" customFormat="1">
      <c r="D537" s="51" t="s">
        <v>1057</v>
      </c>
      <c r="E537" s="44"/>
      <c r="F537" s="44"/>
      <c r="G537" s="41">
        <f t="shared" si="44"/>
        <v>1433</v>
      </c>
      <c r="H537" s="45">
        <f t="shared" si="43"/>
        <v>2</v>
      </c>
      <c r="I537" s="47" t="s">
        <v>351</v>
      </c>
      <c r="J537" s="48" t="s">
        <v>33</v>
      </c>
      <c r="K537" s="41">
        <f t="shared" si="45"/>
        <v>1434</v>
      </c>
    </row>
    <row r="538" spans="4:11" s="41" customFormat="1">
      <c r="D538" s="51" t="s">
        <v>1056</v>
      </c>
      <c r="E538" s="44"/>
      <c r="F538" s="44"/>
      <c r="G538" s="41">
        <f t="shared" si="44"/>
        <v>1435</v>
      </c>
      <c r="H538" s="45">
        <f t="shared" si="43"/>
        <v>2</v>
      </c>
      <c r="I538" s="47" t="s">
        <v>351</v>
      </c>
      <c r="J538" s="48" t="s">
        <v>33</v>
      </c>
      <c r="K538" s="41">
        <f t="shared" si="45"/>
        <v>1436</v>
      </c>
    </row>
    <row r="539" spans="4:11" s="41" customFormat="1">
      <c r="D539" s="51" t="s">
        <v>1055</v>
      </c>
      <c r="E539" s="44"/>
      <c r="F539" s="44"/>
      <c r="G539" s="41">
        <f t="shared" si="44"/>
        <v>1437</v>
      </c>
      <c r="H539" s="45">
        <f t="shared" si="43"/>
        <v>2</v>
      </c>
      <c r="I539" s="47" t="s">
        <v>351</v>
      </c>
      <c r="J539" s="48" t="s">
        <v>33</v>
      </c>
      <c r="K539" s="41">
        <f t="shared" si="45"/>
        <v>1438</v>
      </c>
    </row>
    <row r="540" spans="4:11" s="41" customFormat="1">
      <c r="D540" s="51" t="s">
        <v>1054</v>
      </c>
      <c r="E540" s="44"/>
      <c r="F540" s="44"/>
      <c r="G540" s="41">
        <f t="shared" si="44"/>
        <v>1439</v>
      </c>
      <c r="H540" s="45">
        <f t="shared" si="43"/>
        <v>2</v>
      </c>
      <c r="I540" s="47" t="s">
        <v>351</v>
      </c>
      <c r="J540" s="48" t="s">
        <v>33</v>
      </c>
      <c r="K540" s="41">
        <f t="shared" si="45"/>
        <v>1440</v>
      </c>
    </row>
    <row r="541" spans="4:11" s="41" customFormat="1">
      <c r="D541" s="51" t="s">
        <v>1053</v>
      </c>
      <c r="E541" s="44"/>
      <c r="F541" s="44"/>
      <c r="G541" s="41">
        <f t="shared" si="44"/>
        <v>1441</v>
      </c>
      <c r="H541" s="45">
        <f t="shared" si="43"/>
        <v>2</v>
      </c>
      <c r="I541" s="47" t="s">
        <v>351</v>
      </c>
      <c r="J541" s="48" t="s">
        <v>33</v>
      </c>
      <c r="K541" s="41">
        <f t="shared" si="45"/>
        <v>1442</v>
      </c>
    </row>
    <row r="542" spans="4:11" s="41" customFormat="1">
      <c r="D542" s="51" t="s">
        <v>1052</v>
      </c>
      <c r="E542" s="44"/>
      <c r="F542" s="44"/>
      <c r="G542" s="41">
        <f t="shared" si="44"/>
        <v>1443</v>
      </c>
      <c r="H542" s="45">
        <f t="shared" si="43"/>
        <v>2</v>
      </c>
      <c r="I542" s="47" t="s">
        <v>351</v>
      </c>
      <c r="J542" s="48" t="s">
        <v>33</v>
      </c>
      <c r="K542" s="41">
        <f t="shared" si="45"/>
        <v>1444</v>
      </c>
    </row>
    <row r="543" spans="4:11" s="41" customFormat="1">
      <c r="D543" s="51" t="s">
        <v>1051</v>
      </c>
      <c r="E543" s="44"/>
      <c r="F543" s="44"/>
      <c r="G543" s="41">
        <f t="shared" si="44"/>
        <v>1445</v>
      </c>
      <c r="H543" s="45">
        <f t="shared" si="43"/>
        <v>2</v>
      </c>
      <c r="I543" s="47" t="s">
        <v>351</v>
      </c>
      <c r="J543" s="48" t="s">
        <v>33</v>
      </c>
      <c r="K543" s="41">
        <f t="shared" si="45"/>
        <v>1446</v>
      </c>
    </row>
    <row r="544" spans="4:11" s="41" customFormat="1">
      <c r="D544" s="51" t="s">
        <v>1050</v>
      </c>
      <c r="E544" s="44"/>
      <c r="F544" s="44"/>
      <c r="G544" s="41">
        <f t="shared" si="44"/>
        <v>1447</v>
      </c>
      <c r="H544" s="45">
        <f t="shared" si="43"/>
        <v>2</v>
      </c>
      <c r="I544" s="47" t="s">
        <v>351</v>
      </c>
      <c r="J544" s="48" t="s">
        <v>33</v>
      </c>
      <c r="K544" s="41">
        <f t="shared" si="45"/>
        <v>1448</v>
      </c>
    </row>
    <row r="545" spans="4:11" s="41" customFormat="1">
      <c r="D545" s="51" t="s">
        <v>1049</v>
      </c>
      <c r="E545" s="44"/>
      <c r="F545" s="44"/>
      <c r="G545" s="41">
        <f t="shared" si="44"/>
        <v>1449</v>
      </c>
      <c r="H545" s="45">
        <f t="shared" si="43"/>
        <v>2</v>
      </c>
      <c r="I545" s="47" t="s">
        <v>351</v>
      </c>
      <c r="J545" s="48" t="s">
        <v>33</v>
      </c>
      <c r="K545" s="41">
        <f t="shared" si="45"/>
        <v>1450</v>
      </c>
    </row>
    <row r="546" spans="4:11" s="41" customFormat="1">
      <c r="D546" s="51" t="s">
        <v>1048</v>
      </c>
      <c r="E546" s="44"/>
      <c r="F546" s="44"/>
      <c r="G546" s="41">
        <f t="shared" si="44"/>
        <v>1451</v>
      </c>
      <c r="H546" s="45">
        <f t="shared" si="43"/>
        <v>2</v>
      </c>
      <c r="I546" s="47" t="s">
        <v>351</v>
      </c>
      <c r="J546" s="48" t="s">
        <v>33</v>
      </c>
      <c r="K546" s="41">
        <f t="shared" si="45"/>
        <v>1452</v>
      </c>
    </row>
    <row r="547" spans="4:11" s="41" customFormat="1">
      <c r="D547" s="51" t="s">
        <v>1047</v>
      </c>
      <c r="E547" s="44"/>
      <c r="F547" s="44"/>
      <c r="G547" s="41">
        <f t="shared" si="44"/>
        <v>1453</v>
      </c>
      <c r="H547" s="45">
        <f t="shared" si="43"/>
        <v>2</v>
      </c>
      <c r="I547" s="47" t="s">
        <v>351</v>
      </c>
      <c r="J547" s="48" t="s">
        <v>33</v>
      </c>
      <c r="K547" s="41">
        <f t="shared" si="45"/>
        <v>1454</v>
      </c>
    </row>
    <row r="548" spans="4:11" s="41" customFormat="1">
      <c r="D548" s="51" t="s">
        <v>1046</v>
      </c>
      <c r="E548" s="44"/>
      <c r="F548" s="44"/>
      <c r="G548" s="41">
        <f t="shared" si="44"/>
        <v>1455</v>
      </c>
      <c r="H548" s="45">
        <f t="shared" si="43"/>
        <v>2</v>
      </c>
      <c r="I548" s="47" t="s">
        <v>351</v>
      </c>
      <c r="J548" s="48" t="s">
        <v>33</v>
      </c>
      <c r="K548" s="41">
        <f t="shared" si="45"/>
        <v>1456</v>
      </c>
    </row>
    <row r="549" spans="4:11" s="41" customFormat="1">
      <c r="D549" s="51" t="s">
        <v>1045</v>
      </c>
      <c r="E549" s="44"/>
      <c r="F549" s="44"/>
      <c r="G549" s="41">
        <f t="shared" si="44"/>
        <v>1457</v>
      </c>
      <c r="H549" s="45">
        <f t="shared" si="43"/>
        <v>2</v>
      </c>
      <c r="I549" s="47" t="s">
        <v>351</v>
      </c>
      <c r="J549" s="48" t="s">
        <v>33</v>
      </c>
      <c r="K549" s="41">
        <f t="shared" si="45"/>
        <v>1458</v>
      </c>
    </row>
    <row r="550" spans="4:11" s="41" customFormat="1">
      <c r="D550" s="51" t="s">
        <v>1044</v>
      </c>
      <c r="E550" s="44"/>
      <c r="F550" s="44"/>
      <c r="G550" s="41">
        <f t="shared" si="44"/>
        <v>1459</v>
      </c>
      <c r="H550" s="45">
        <f t="shared" si="43"/>
        <v>2</v>
      </c>
      <c r="I550" s="47" t="s">
        <v>351</v>
      </c>
      <c r="J550" s="48" t="s">
        <v>33</v>
      </c>
      <c r="K550" s="41">
        <f t="shared" si="45"/>
        <v>1460</v>
      </c>
    </row>
    <row r="551" spans="4:11" s="41" customFormat="1">
      <c r="D551" s="51" t="s">
        <v>1043</v>
      </c>
      <c r="E551" s="44"/>
      <c r="F551" s="44"/>
      <c r="G551" s="41">
        <f t="shared" si="44"/>
        <v>1461</v>
      </c>
      <c r="H551" s="45">
        <f t="shared" si="43"/>
        <v>2</v>
      </c>
      <c r="I551" s="47" t="s">
        <v>351</v>
      </c>
      <c r="J551" s="48" t="s">
        <v>33</v>
      </c>
      <c r="K551" s="41">
        <f t="shared" si="45"/>
        <v>1462</v>
      </c>
    </row>
    <row r="552" spans="4:11" s="41" customFormat="1">
      <c r="D552" s="51" t="s">
        <v>1042</v>
      </c>
      <c r="E552" s="44"/>
      <c r="F552" s="44"/>
      <c r="G552" s="41">
        <f t="shared" si="44"/>
        <v>1463</v>
      </c>
      <c r="H552" s="45">
        <f t="shared" si="43"/>
        <v>2</v>
      </c>
      <c r="I552" s="47" t="s">
        <v>351</v>
      </c>
      <c r="J552" s="48" t="s">
        <v>33</v>
      </c>
      <c r="K552" s="41">
        <f t="shared" si="45"/>
        <v>1464</v>
      </c>
    </row>
    <row r="553" spans="4:11" s="41" customFormat="1">
      <c r="D553" s="51" t="s">
        <v>1041</v>
      </c>
      <c r="E553" s="44"/>
      <c r="F553" s="44"/>
      <c r="G553" s="41">
        <f t="shared" si="44"/>
        <v>1465</v>
      </c>
      <c r="H553" s="45">
        <f t="shared" ref="H553:H584" si="46">K553-G553+1</f>
        <v>2</v>
      </c>
      <c r="I553" s="47" t="s">
        <v>351</v>
      </c>
      <c r="J553" s="48" t="s">
        <v>33</v>
      </c>
      <c r="K553" s="41">
        <f t="shared" si="45"/>
        <v>1466</v>
      </c>
    </row>
    <row r="554" spans="4:11" s="41" customFormat="1">
      <c r="D554" s="51" t="s">
        <v>1040</v>
      </c>
      <c r="E554" s="44"/>
      <c r="F554" s="44"/>
      <c r="G554" s="41">
        <f t="shared" si="44"/>
        <v>1467</v>
      </c>
      <c r="H554" s="45">
        <f t="shared" si="46"/>
        <v>2</v>
      </c>
      <c r="I554" s="47" t="s">
        <v>351</v>
      </c>
      <c r="J554" s="48" t="s">
        <v>33</v>
      </c>
      <c r="K554" s="41">
        <f t="shared" si="45"/>
        <v>1468</v>
      </c>
    </row>
    <row r="555" spans="4:11" s="41" customFormat="1">
      <c r="D555" s="51" t="s">
        <v>1039</v>
      </c>
      <c r="E555" s="44"/>
      <c r="F555" s="44"/>
      <c r="G555" s="41">
        <f t="shared" si="44"/>
        <v>1469</v>
      </c>
      <c r="H555" s="45">
        <f t="shared" si="46"/>
        <v>2</v>
      </c>
      <c r="I555" s="47" t="s">
        <v>351</v>
      </c>
      <c r="J555" s="48" t="s">
        <v>33</v>
      </c>
      <c r="K555" s="41">
        <f t="shared" si="45"/>
        <v>1470</v>
      </c>
    </row>
    <row r="556" spans="4:11" s="41" customFormat="1">
      <c r="D556" s="51" t="s">
        <v>1038</v>
      </c>
      <c r="E556" s="44"/>
      <c r="F556" s="44"/>
      <c r="G556" s="41">
        <f t="shared" si="44"/>
        <v>1471</v>
      </c>
      <c r="H556" s="45">
        <f t="shared" si="46"/>
        <v>2</v>
      </c>
      <c r="I556" s="47" t="s">
        <v>351</v>
      </c>
      <c r="J556" s="48" t="s">
        <v>33</v>
      </c>
      <c r="K556" s="41">
        <f t="shared" si="45"/>
        <v>1472</v>
      </c>
    </row>
    <row r="557" spans="4:11" s="41" customFormat="1">
      <c r="D557" s="51" t="s">
        <v>1037</v>
      </c>
      <c r="E557" s="44"/>
      <c r="F557" s="44"/>
      <c r="G557" s="41">
        <f t="shared" si="44"/>
        <v>1473</v>
      </c>
      <c r="H557" s="45">
        <f t="shared" si="46"/>
        <v>2</v>
      </c>
      <c r="I557" s="47" t="s">
        <v>351</v>
      </c>
      <c r="J557" s="48" t="s">
        <v>33</v>
      </c>
      <c r="K557" s="41">
        <f t="shared" si="45"/>
        <v>1474</v>
      </c>
    </row>
    <row r="558" spans="4:11" s="41" customFormat="1">
      <c r="D558" s="51" t="s">
        <v>1036</v>
      </c>
      <c r="E558" s="44"/>
      <c r="F558" s="44"/>
      <c r="G558" s="41">
        <f t="shared" si="44"/>
        <v>1475</v>
      </c>
      <c r="H558" s="45">
        <f t="shared" si="46"/>
        <v>2</v>
      </c>
      <c r="I558" s="47" t="s">
        <v>351</v>
      </c>
      <c r="J558" s="48" t="s">
        <v>33</v>
      </c>
      <c r="K558" s="41">
        <f t="shared" si="45"/>
        <v>1476</v>
      </c>
    </row>
    <row r="559" spans="4:11" s="41" customFormat="1">
      <c r="D559" s="51" t="s">
        <v>1035</v>
      </c>
      <c r="E559" s="44"/>
      <c r="F559" s="44"/>
      <c r="G559" s="41">
        <f t="shared" si="44"/>
        <v>1477</v>
      </c>
      <c r="H559" s="45">
        <f t="shared" si="46"/>
        <v>2</v>
      </c>
      <c r="I559" s="47" t="s">
        <v>351</v>
      </c>
      <c r="J559" s="48" t="s">
        <v>33</v>
      </c>
      <c r="K559" s="41">
        <f t="shared" si="45"/>
        <v>1478</v>
      </c>
    </row>
    <row r="560" spans="4:11" s="41" customFormat="1">
      <c r="D560" s="51" t="s">
        <v>1034</v>
      </c>
      <c r="E560" s="44"/>
      <c r="F560" s="44"/>
      <c r="G560" s="41">
        <f t="shared" si="44"/>
        <v>1479</v>
      </c>
      <c r="H560" s="45">
        <f t="shared" si="46"/>
        <v>2</v>
      </c>
      <c r="I560" s="47" t="s">
        <v>351</v>
      </c>
      <c r="J560" s="48" t="s">
        <v>33</v>
      </c>
      <c r="K560" s="41">
        <f t="shared" si="45"/>
        <v>1480</v>
      </c>
    </row>
    <row r="561" spans="4:11" s="41" customFormat="1">
      <c r="D561" s="51" t="s">
        <v>1033</v>
      </c>
      <c r="E561" s="44"/>
      <c r="F561" s="44"/>
      <c r="G561" s="41">
        <v>1501</v>
      </c>
      <c r="H561" s="45">
        <f t="shared" si="46"/>
        <v>2</v>
      </c>
      <c r="I561" s="47" t="s">
        <v>351</v>
      </c>
      <c r="J561" s="48" t="s">
        <v>33</v>
      </c>
      <c r="K561" s="41">
        <v>1502</v>
      </c>
    </row>
    <row r="562" spans="4:11" s="41" customFormat="1">
      <c r="D562" s="51" t="s">
        <v>1032</v>
      </c>
      <c r="E562" s="44"/>
      <c r="F562" s="44"/>
      <c r="G562" s="41">
        <f t="shared" ref="G562:G600" si="47">G561+2</f>
        <v>1503</v>
      </c>
      <c r="H562" s="45">
        <f t="shared" si="46"/>
        <v>2</v>
      </c>
      <c r="I562" s="47" t="s">
        <v>351</v>
      </c>
      <c r="J562" s="48" t="s">
        <v>33</v>
      </c>
      <c r="K562" s="41">
        <f t="shared" ref="K562:K600" si="48">K561 + 2</f>
        <v>1504</v>
      </c>
    </row>
    <row r="563" spans="4:11" s="41" customFormat="1">
      <c r="D563" s="51" t="s">
        <v>1031</v>
      </c>
      <c r="E563" s="44"/>
      <c r="F563" s="44"/>
      <c r="G563" s="41">
        <f t="shared" si="47"/>
        <v>1505</v>
      </c>
      <c r="H563" s="45">
        <f t="shared" si="46"/>
        <v>2</v>
      </c>
      <c r="I563" s="47" t="s">
        <v>351</v>
      </c>
      <c r="J563" s="48" t="s">
        <v>33</v>
      </c>
      <c r="K563" s="41">
        <f t="shared" si="48"/>
        <v>1506</v>
      </c>
    </row>
    <row r="564" spans="4:11" s="41" customFormat="1">
      <c r="D564" s="51" t="s">
        <v>1030</v>
      </c>
      <c r="E564" s="44"/>
      <c r="F564" s="44"/>
      <c r="G564" s="41">
        <f t="shared" si="47"/>
        <v>1507</v>
      </c>
      <c r="H564" s="45">
        <f t="shared" si="46"/>
        <v>2</v>
      </c>
      <c r="I564" s="47" t="s">
        <v>351</v>
      </c>
      <c r="J564" s="48" t="s">
        <v>33</v>
      </c>
      <c r="K564" s="41">
        <f t="shared" si="48"/>
        <v>1508</v>
      </c>
    </row>
    <row r="565" spans="4:11" s="41" customFormat="1">
      <c r="D565" s="51" t="s">
        <v>1029</v>
      </c>
      <c r="E565" s="44"/>
      <c r="F565" s="44"/>
      <c r="G565" s="41">
        <f t="shared" si="47"/>
        <v>1509</v>
      </c>
      <c r="H565" s="45">
        <f t="shared" si="46"/>
        <v>2</v>
      </c>
      <c r="I565" s="47" t="s">
        <v>351</v>
      </c>
      <c r="J565" s="48" t="s">
        <v>33</v>
      </c>
      <c r="K565" s="41">
        <f t="shared" si="48"/>
        <v>1510</v>
      </c>
    </row>
    <row r="566" spans="4:11" s="41" customFormat="1">
      <c r="D566" s="51" t="s">
        <v>1028</v>
      </c>
      <c r="E566" s="44"/>
      <c r="F566" s="44"/>
      <c r="G566" s="41">
        <f t="shared" si="47"/>
        <v>1511</v>
      </c>
      <c r="H566" s="45">
        <f t="shared" si="46"/>
        <v>2</v>
      </c>
      <c r="I566" s="47" t="s">
        <v>351</v>
      </c>
      <c r="J566" s="48" t="s">
        <v>33</v>
      </c>
      <c r="K566" s="41">
        <f t="shared" si="48"/>
        <v>1512</v>
      </c>
    </row>
    <row r="567" spans="4:11" s="41" customFormat="1">
      <c r="D567" s="51" t="s">
        <v>1027</v>
      </c>
      <c r="E567" s="44"/>
      <c r="F567" s="44"/>
      <c r="G567" s="41">
        <f t="shared" si="47"/>
        <v>1513</v>
      </c>
      <c r="H567" s="45">
        <f t="shared" si="46"/>
        <v>2</v>
      </c>
      <c r="I567" s="47" t="s">
        <v>351</v>
      </c>
      <c r="J567" s="48" t="s">
        <v>33</v>
      </c>
      <c r="K567" s="41">
        <f t="shared" si="48"/>
        <v>1514</v>
      </c>
    </row>
    <row r="568" spans="4:11" s="41" customFormat="1">
      <c r="D568" s="51" t="s">
        <v>1026</v>
      </c>
      <c r="E568" s="44"/>
      <c r="F568" s="44"/>
      <c r="G568" s="41">
        <f t="shared" si="47"/>
        <v>1515</v>
      </c>
      <c r="H568" s="45">
        <f t="shared" si="46"/>
        <v>2</v>
      </c>
      <c r="I568" s="47" t="s">
        <v>351</v>
      </c>
      <c r="J568" s="48" t="s">
        <v>33</v>
      </c>
      <c r="K568" s="41">
        <f t="shared" si="48"/>
        <v>1516</v>
      </c>
    </row>
    <row r="569" spans="4:11" s="41" customFormat="1">
      <c r="D569" s="51" t="s">
        <v>1025</v>
      </c>
      <c r="E569" s="44"/>
      <c r="F569" s="44"/>
      <c r="G569" s="41">
        <f t="shared" si="47"/>
        <v>1517</v>
      </c>
      <c r="H569" s="45">
        <f t="shared" si="46"/>
        <v>2</v>
      </c>
      <c r="I569" s="47" t="s">
        <v>351</v>
      </c>
      <c r="J569" s="48" t="s">
        <v>33</v>
      </c>
      <c r="K569" s="41">
        <f t="shared" si="48"/>
        <v>1518</v>
      </c>
    </row>
    <row r="570" spans="4:11" s="41" customFormat="1">
      <c r="D570" s="51" t="s">
        <v>1024</v>
      </c>
      <c r="E570" s="44"/>
      <c r="F570" s="44"/>
      <c r="G570" s="41">
        <f t="shared" si="47"/>
        <v>1519</v>
      </c>
      <c r="H570" s="45">
        <f t="shared" si="46"/>
        <v>2</v>
      </c>
      <c r="I570" s="47" t="s">
        <v>351</v>
      </c>
      <c r="J570" s="48" t="s">
        <v>33</v>
      </c>
      <c r="K570" s="41">
        <f t="shared" si="48"/>
        <v>1520</v>
      </c>
    </row>
    <row r="571" spans="4:11" s="41" customFormat="1">
      <c r="D571" s="51" t="s">
        <v>1023</v>
      </c>
      <c r="E571" s="44"/>
      <c r="F571" s="44"/>
      <c r="G571" s="41">
        <f t="shared" si="47"/>
        <v>1521</v>
      </c>
      <c r="H571" s="45">
        <f t="shared" si="46"/>
        <v>2</v>
      </c>
      <c r="I571" s="47" t="s">
        <v>351</v>
      </c>
      <c r="J571" s="48" t="s">
        <v>33</v>
      </c>
      <c r="K571" s="41">
        <f t="shared" si="48"/>
        <v>1522</v>
      </c>
    </row>
    <row r="572" spans="4:11" s="41" customFormat="1">
      <c r="D572" s="51" t="s">
        <v>1022</v>
      </c>
      <c r="E572" s="44"/>
      <c r="F572" s="44"/>
      <c r="G572" s="41">
        <f t="shared" si="47"/>
        <v>1523</v>
      </c>
      <c r="H572" s="45">
        <f t="shared" si="46"/>
        <v>2</v>
      </c>
      <c r="I572" s="47" t="s">
        <v>351</v>
      </c>
      <c r="J572" s="48" t="s">
        <v>33</v>
      </c>
      <c r="K572" s="41">
        <f t="shared" si="48"/>
        <v>1524</v>
      </c>
    </row>
    <row r="573" spans="4:11" s="41" customFormat="1">
      <c r="D573" s="51" t="s">
        <v>1021</v>
      </c>
      <c r="E573" s="44"/>
      <c r="F573" s="44"/>
      <c r="G573" s="41">
        <f t="shared" si="47"/>
        <v>1525</v>
      </c>
      <c r="H573" s="45">
        <f t="shared" si="46"/>
        <v>2</v>
      </c>
      <c r="I573" s="47" t="s">
        <v>351</v>
      </c>
      <c r="J573" s="48" t="s">
        <v>33</v>
      </c>
      <c r="K573" s="41">
        <f t="shared" si="48"/>
        <v>1526</v>
      </c>
    </row>
    <row r="574" spans="4:11" s="41" customFormat="1">
      <c r="D574" s="51" t="s">
        <v>1020</v>
      </c>
      <c r="E574" s="44"/>
      <c r="F574" s="44"/>
      <c r="G574" s="41">
        <f t="shared" si="47"/>
        <v>1527</v>
      </c>
      <c r="H574" s="45">
        <f t="shared" si="46"/>
        <v>2</v>
      </c>
      <c r="I574" s="47" t="s">
        <v>351</v>
      </c>
      <c r="J574" s="48" t="s">
        <v>33</v>
      </c>
      <c r="K574" s="41">
        <f t="shared" si="48"/>
        <v>1528</v>
      </c>
    </row>
    <row r="575" spans="4:11" s="41" customFormat="1">
      <c r="D575" s="51" t="s">
        <v>1019</v>
      </c>
      <c r="E575" s="44"/>
      <c r="F575" s="44"/>
      <c r="G575" s="41">
        <f t="shared" si="47"/>
        <v>1529</v>
      </c>
      <c r="H575" s="45">
        <f t="shared" si="46"/>
        <v>2</v>
      </c>
      <c r="I575" s="47" t="s">
        <v>351</v>
      </c>
      <c r="J575" s="48" t="s">
        <v>33</v>
      </c>
      <c r="K575" s="41">
        <f t="shared" si="48"/>
        <v>1530</v>
      </c>
    </row>
    <row r="576" spans="4:11" s="41" customFormat="1">
      <c r="D576" s="51" t="s">
        <v>1018</v>
      </c>
      <c r="E576" s="44"/>
      <c r="F576" s="44"/>
      <c r="G576" s="41">
        <f t="shared" si="47"/>
        <v>1531</v>
      </c>
      <c r="H576" s="45">
        <f t="shared" si="46"/>
        <v>2</v>
      </c>
      <c r="I576" s="47" t="s">
        <v>351</v>
      </c>
      <c r="J576" s="48" t="s">
        <v>33</v>
      </c>
      <c r="K576" s="41">
        <f t="shared" si="48"/>
        <v>1532</v>
      </c>
    </row>
    <row r="577" spans="4:11" s="41" customFormat="1">
      <c r="D577" s="51" t="s">
        <v>1017</v>
      </c>
      <c r="E577" s="44"/>
      <c r="F577" s="44"/>
      <c r="G577" s="41">
        <f t="shared" si="47"/>
        <v>1533</v>
      </c>
      <c r="H577" s="45">
        <f t="shared" si="46"/>
        <v>2</v>
      </c>
      <c r="I577" s="47" t="s">
        <v>351</v>
      </c>
      <c r="J577" s="48" t="s">
        <v>33</v>
      </c>
      <c r="K577" s="41">
        <f t="shared" si="48"/>
        <v>1534</v>
      </c>
    </row>
    <row r="578" spans="4:11" s="41" customFormat="1">
      <c r="D578" s="51" t="s">
        <v>1016</v>
      </c>
      <c r="E578" s="44"/>
      <c r="F578" s="44"/>
      <c r="G578" s="41">
        <f t="shared" si="47"/>
        <v>1535</v>
      </c>
      <c r="H578" s="45">
        <f t="shared" si="46"/>
        <v>2</v>
      </c>
      <c r="I578" s="47" t="s">
        <v>351</v>
      </c>
      <c r="J578" s="48" t="s">
        <v>33</v>
      </c>
      <c r="K578" s="41">
        <f t="shared" si="48"/>
        <v>1536</v>
      </c>
    </row>
    <row r="579" spans="4:11" s="41" customFormat="1">
      <c r="D579" s="51" t="s">
        <v>1015</v>
      </c>
      <c r="E579" s="44"/>
      <c r="F579" s="44"/>
      <c r="G579" s="41">
        <f t="shared" si="47"/>
        <v>1537</v>
      </c>
      <c r="H579" s="45">
        <f t="shared" si="46"/>
        <v>2</v>
      </c>
      <c r="I579" s="47" t="s">
        <v>351</v>
      </c>
      <c r="J579" s="48" t="s">
        <v>33</v>
      </c>
      <c r="K579" s="41">
        <f t="shared" si="48"/>
        <v>1538</v>
      </c>
    </row>
    <row r="580" spans="4:11" s="41" customFormat="1">
      <c r="D580" s="51" t="s">
        <v>1014</v>
      </c>
      <c r="E580" s="44"/>
      <c r="F580" s="44"/>
      <c r="G580" s="41">
        <f t="shared" si="47"/>
        <v>1539</v>
      </c>
      <c r="H580" s="45">
        <f t="shared" si="46"/>
        <v>2</v>
      </c>
      <c r="I580" s="47" t="s">
        <v>351</v>
      </c>
      <c r="J580" s="48" t="s">
        <v>33</v>
      </c>
      <c r="K580" s="41">
        <f t="shared" si="48"/>
        <v>1540</v>
      </c>
    </row>
    <row r="581" spans="4:11" s="41" customFormat="1">
      <c r="D581" s="51" t="s">
        <v>1013</v>
      </c>
      <c r="E581" s="44"/>
      <c r="F581" s="44"/>
      <c r="G581" s="41">
        <f t="shared" si="47"/>
        <v>1541</v>
      </c>
      <c r="H581" s="45">
        <f t="shared" si="46"/>
        <v>2</v>
      </c>
      <c r="I581" s="47" t="s">
        <v>351</v>
      </c>
      <c r="J581" s="48" t="s">
        <v>33</v>
      </c>
      <c r="K581" s="41">
        <f t="shared" si="48"/>
        <v>1542</v>
      </c>
    </row>
    <row r="582" spans="4:11" s="41" customFormat="1">
      <c r="D582" s="51" t="s">
        <v>1012</v>
      </c>
      <c r="E582" s="44"/>
      <c r="F582" s="44"/>
      <c r="G582" s="41">
        <f t="shared" si="47"/>
        <v>1543</v>
      </c>
      <c r="H582" s="45">
        <f t="shared" si="46"/>
        <v>2</v>
      </c>
      <c r="I582" s="47" t="s">
        <v>351</v>
      </c>
      <c r="J582" s="48" t="s">
        <v>33</v>
      </c>
      <c r="K582" s="41">
        <f t="shared" si="48"/>
        <v>1544</v>
      </c>
    </row>
    <row r="583" spans="4:11" s="41" customFormat="1">
      <c r="D583" s="51" t="s">
        <v>1011</v>
      </c>
      <c r="E583" s="44"/>
      <c r="F583" s="44"/>
      <c r="G583" s="41">
        <f t="shared" si="47"/>
        <v>1545</v>
      </c>
      <c r="H583" s="45">
        <f t="shared" si="46"/>
        <v>2</v>
      </c>
      <c r="I583" s="47" t="s">
        <v>351</v>
      </c>
      <c r="J583" s="48" t="s">
        <v>33</v>
      </c>
      <c r="K583" s="41">
        <f t="shared" si="48"/>
        <v>1546</v>
      </c>
    </row>
    <row r="584" spans="4:11" s="41" customFormat="1">
      <c r="D584" s="51" t="s">
        <v>1010</v>
      </c>
      <c r="E584" s="44"/>
      <c r="F584" s="44"/>
      <c r="G584" s="41">
        <f t="shared" si="47"/>
        <v>1547</v>
      </c>
      <c r="H584" s="45">
        <f t="shared" si="46"/>
        <v>2</v>
      </c>
      <c r="I584" s="47" t="s">
        <v>351</v>
      </c>
      <c r="J584" s="48" t="s">
        <v>33</v>
      </c>
      <c r="K584" s="41">
        <f t="shared" si="48"/>
        <v>1548</v>
      </c>
    </row>
    <row r="585" spans="4:11" s="41" customFormat="1">
      <c r="D585" s="51" t="s">
        <v>1009</v>
      </c>
      <c r="E585" s="44"/>
      <c r="F585" s="44"/>
      <c r="G585" s="41">
        <f t="shared" si="47"/>
        <v>1549</v>
      </c>
      <c r="H585" s="45">
        <f t="shared" ref="H585:H616" si="49">K585-G585+1</f>
        <v>2</v>
      </c>
      <c r="I585" s="47" t="s">
        <v>351</v>
      </c>
      <c r="J585" s="48" t="s">
        <v>33</v>
      </c>
      <c r="K585" s="41">
        <f t="shared" si="48"/>
        <v>1550</v>
      </c>
    </row>
    <row r="586" spans="4:11" s="41" customFormat="1">
      <c r="D586" s="51" t="s">
        <v>1008</v>
      </c>
      <c r="E586" s="44"/>
      <c r="F586" s="44"/>
      <c r="G586" s="41">
        <f t="shared" si="47"/>
        <v>1551</v>
      </c>
      <c r="H586" s="45">
        <f t="shared" si="49"/>
        <v>2</v>
      </c>
      <c r="I586" s="47" t="s">
        <v>351</v>
      </c>
      <c r="J586" s="48" t="s">
        <v>33</v>
      </c>
      <c r="K586" s="41">
        <f t="shared" si="48"/>
        <v>1552</v>
      </c>
    </row>
    <row r="587" spans="4:11" s="41" customFormat="1">
      <c r="D587" s="51" t="s">
        <v>1007</v>
      </c>
      <c r="E587" s="44"/>
      <c r="F587" s="44"/>
      <c r="G587" s="41">
        <f t="shared" si="47"/>
        <v>1553</v>
      </c>
      <c r="H587" s="45">
        <f t="shared" si="49"/>
        <v>2</v>
      </c>
      <c r="I587" s="47" t="s">
        <v>351</v>
      </c>
      <c r="J587" s="48" t="s">
        <v>33</v>
      </c>
      <c r="K587" s="41">
        <f t="shared" si="48"/>
        <v>1554</v>
      </c>
    </row>
    <row r="588" spans="4:11" s="41" customFormat="1">
      <c r="D588" s="51" t="s">
        <v>1006</v>
      </c>
      <c r="E588" s="44"/>
      <c r="F588" s="44"/>
      <c r="G588" s="41">
        <f t="shared" si="47"/>
        <v>1555</v>
      </c>
      <c r="H588" s="45">
        <f t="shared" si="49"/>
        <v>2</v>
      </c>
      <c r="I588" s="47" t="s">
        <v>351</v>
      </c>
      <c r="J588" s="48" t="s">
        <v>33</v>
      </c>
      <c r="K588" s="41">
        <f t="shared" si="48"/>
        <v>1556</v>
      </c>
    </row>
    <row r="589" spans="4:11" s="41" customFormat="1">
      <c r="D589" s="51" t="s">
        <v>1005</v>
      </c>
      <c r="E589" s="44"/>
      <c r="F589" s="44"/>
      <c r="G589" s="41">
        <f t="shared" si="47"/>
        <v>1557</v>
      </c>
      <c r="H589" s="45">
        <f t="shared" si="49"/>
        <v>2</v>
      </c>
      <c r="I589" s="47" t="s">
        <v>351</v>
      </c>
      <c r="J589" s="48" t="s">
        <v>33</v>
      </c>
      <c r="K589" s="41">
        <f t="shared" si="48"/>
        <v>1558</v>
      </c>
    </row>
    <row r="590" spans="4:11" s="41" customFormat="1">
      <c r="D590" s="51" t="s">
        <v>1004</v>
      </c>
      <c r="E590" s="44"/>
      <c r="F590" s="44"/>
      <c r="G590" s="41">
        <f t="shared" si="47"/>
        <v>1559</v>
      </c>
      <c r="H590" s="45">
        <f t="shared" si="49"/>
        <v>2</v>
      </c>
      <c r="I590" s="47" t="s">
        <v>351</v>
      </c>
      <c r="J590" s="48" t="s">
        <v>33</v>
      </c>
      <c r="K590" s="41">
        <f t="shared" si="48"/>
        <v>1560</v>
      </c>
    </row>
    <row r="591" spans="4:11" s="41" customFormat="1">
      <c r="D591" s="51" t="s">
        <v>1003</v>
      </c>
      <c r="E591" s="44"/>
      <c r="F591" s="44"/>
      <c r="G591" s="41">
        <f t="shared" si="47"/>
        <v>1561</v>
      </c>
      <c r="H591" s="45">
        <f t="shared" si="49"/>
        <v>2</v>
      </c>
      <c r="I591" s="47" t="s">
        <v>351</v>
      </c>
      <c r="J591" s="48" t="s">
        <v>33</v>
      </c>
      <c r="K591" s="41">
        <f t="shared" si="48"/>
        <v>1562</v>
      </c>
    </row>
    <row r="592" spans="4:11" s="41" customFormat="1">
      <c r="D592" s="51" t="s">
        <v>1002</v>
      </c>
      <c r="E592" s="44"/>
      <c r="F592" s="44"/>
      <c r="G592" s="41">
        <f t="shared" si="47"/>
        <v>1563</v>
      </c>
      <c r="H592" s="45">
        <f t="shared" si="49"/>
        <v>2</v>
      </c>
      <c r="I592" s="47" t="s">
        <v>351</v>
      </c>
      <c r="J592" s="48" t="s">
        <v>33</v>
      </c>
      <c r="K592" s="41">
        <f t="shared" si="48"/>
        <v>1564</v>
      </c>
    </row>
    <row r="593" spans="4:11" s="41" customFormat="1">
      <c r="D593" s="51" t="s">
        <v>1001</v>
      </c>
      <c r="E593" s="44"/>
      <c r="F593" s="44"/>
      <c r="G593" s="41">
        <f t="shared" si="47"/>
        <v>1565</v>
      </c>
      <c r="H593" s="45">
        <f t="shared" si="49"/>
        <v>2</v>
      </c>
      <c r="I593" s="47" t="s">
        <v>351</v>
      </c>
      <c r="J593" s="48" t="s">
        <v>33</v>
      </c>
      <c r="K593" s="41">
        <f t="shared" si="48"/>
        <v>1566</v>
      </c>
    </row>
    <row r="594" spans="4:11" s="41" customFormat="1">
      <c r="D594" s="51" t="s">
        <v>1000</v>
      </c>
      <c r="E594" s="44"/>
      <c r="F594" s="44"/>
      <c r="G594" s="41">
        <f t="shared" si="47"/>
        <v>1567</v>
      </c>
      <c r="H594" s="45">
        <f t="shared" si="49"/>
        <v>2</v>
      </c>
      <c r="I594" s="47" t="s">
        <v>351</v>
      </c>
      <c r="J594" s="48" t="s">
        <v>33</v>
      </c>
      <c r="K594" s="41">
        <f t="shared" si="48"/>
        <v>1568</v>
      </c>
    </row>
    <row r="595" spans="4:11" s="41" customFormat="1">
      <c r="D595" s="51" t="s">
        <v>999</v>
      </c>
      <c r="E595" s="44"/>
      <c r="F595" s="44"/>
      <c r="G595" s="41">
        <f t="shared" si="47"/>
        <v>1569</v>
      </c>
      <c r="H595" s="45">
        <f t="shared" si="49"/>
        <v>2</v>
      </c>
      <c r="I595" s="47" t="s">
        <v>351</v>
      </c>
      <c r="J595" s="48" t="s">
        <v>33</v>
      </c>
      <c r="K595" s="41">
        <f t="shared" si="48"/>
        <v>1570</v>
      </c>
    </row>
    <row r="596" spans="4:11" s="41" customFormat="1">
      <c r="D596" s="51" t="s">
        <v>998</v>
      </c>
      <c r="E596" s="44"/>
      <c r="F596" s="44"/>
      <c r="G596" s="41">
        <f t="shared" si="47"/>
        <v>1571</v>
      </c>
      <c r="H596" s="45">
        <f t="shared" si="49"/>
        <v>2</v>
      </c>
      <c r="I596" s="47" t="s">
        <v>351</v>
      </c>
      <c r="J596" s="48" t="s">
        <v>33</v>
      </c>
      <c r="K596" s="41">
        <f t="shared" si="48"/>
        <v>1572</v>
      </c>
    </row>
    <row r="597" spans="4:11" s="41" customFormat="1">
      <c r="D597" s="51" t="s">
        <v>997</v>
      </c>
      <c r="E597" s="44"/>
      <c r="F597" s="44"/>
      <c r="G597" s="41">
        <f t="shared" si="47"/>
        <v>1573</v>
      </c>
      <c r="H597" s="45">
        <f t="shared" si="49"/>
        <v>2</v>
      </c>
      <c r="I597" s="47" t="s">
        <v>351</v>
      </c>
      <c r="J597" s="48" t="s">
        <v>33</v>
      </c>
      <c r="K597" s="41">
        <f t="shared" si="48"/>
        <v>1574</v>
      </c>
    </row>
    <row r="598" spans="4:11" s="41" customFormat="1">
      <c r="D598" s="51" t="s">
        <v>996</v>
      </c>
      <c r="E598" s="44"/>
      <c r="F598" s="44"/>
      <c r="G598" s="41">
        <f t="shared" si="47"/>
        <v>1575</v>
      </c>
      <c r="H598" s="45">
        <f t="shared" si="49"/>
        <v>2</v>
      </c>
      <c r="I598" s="47" t="s">
        <v>351</v>
      </c>
      <c r="J598" s="48" t="s">
        <v>33</v>
      </c>
      <c r="K598" s="41">
        <f t="shared" si="48"/>
        <v>1576</v>
      </c>
    </row>
    <row r="599" spans="4:11" s="41" customFormat="1">
      <c r="D599" s="51" t="s">
        <v>995</v>
      </c>
      <c r="E599" s="44"/>
      <c r="F599" s="44"/>
      <c r="G599" s="41">
        <f t="shared" si="47"/>
        <v>1577</v>
      </c>
      <c r="H599" s="45">
        <f t="shared" si="49"/>
        <v>2</v>
      </c>
      <c r="I599" s="47" t="s">
        <v>351</v>
      </c>
      <c r="J599" s="48" t="s">
        <v>33</v>
      </c>
      <c r="K599" s="41">
        <f t="shared" si="48"/>
        <v>1578</v>
      </c>
    </row>
    <row r="600" spans="4:11" s="41" customFormat="1">
      <c r="D600" s="51" t="s">
        <v>994</v>
      </c>
      <c r="E600" s="44"/>
      <c r="F600" s="44"/>
      <c r="G600" s="41">
        <f t="shared" si="47"/>
        <v>1579</v>
      </c>
      <c r="H600" s="45">
        <f t="shared" si="49"/>
        <v>2</v>
      </c>
      <c r="I600" s="47" t="s">
        <v>351</v>
      </c>
      <c r="J600" s="48" t="s">
        <v>33</v>
      </c>
      <c r="K600" s="41">
        <f t="shared" si="48"/>
        <v>1580</v>
      </c>
    </row>
    <row r="601" spans="4:11" s="41" customFormat="1">
      <c r="D601" s="51" t="s">
        <v>993</v>
      </c>
      <c r="E601" s="44"/>
      <c r="F601" s="44"/>
      <c r="G601" s="41">
        <v>1601</v>
      </c>
      <c r="H601" s="45">
        <f t="shared" si="49"/>
        <v>2</v>
      </c>
      <c r="I601" s="47" t="s">
        <v>351</v>
      </c>
      <c r="J601" s="48" t="s">
        <v>33</v>
      </c>
      <c r="K601" s="41">
        <v>1602</v>
      </c>
    </row>
    <row r="602" spans="4:11" s="41" customFormat="1">
      <c r="D602" s="51" t="s">
        <v>992</v>
      </c>
      <c r="E602" s="44"/>
      <c r="F602" s="44"/>
      <c r="G602" s="41">
        <f t="shared" ref="G602:G640" si="50">G601+2</f>
        <v>1603</v>
      </c>
      <c r="H602" s="45">
        <f t="shared" si="49"/>
        <v>2</v>
      </c>
      <c r="I602" s="47" t="s">
        <v>351</v>
      </c>
      <c r="J602" s="48" t="s">
        <v>33</v>
      </c>
      <c r="K602" s="41">
        <f t="shared" ref="K602:K640" si="51">K601 + 2</f>
        <v>1604</v>
      </c>
    </row>
    <row r="603" spans="4:11" s="41" customFormat="1">
      <c r="D603" s="51" t="s">
        <v>991</v>
      </c>
      <c r="E603" s="44"/>
      <c r="F603" s="44"/>
      <c r="G603" s="41">
        <f t="shared" si="50"/>
        <v>1605</v>
      </c>
      <c r="H603" s="45">
        <f t="shared" si="49"/>
        <v>2</v>
      </c>
      <c r="I603" s="47" t="s">
        <v>351</v>
      </c>
      <c r="J603" s="48" t="s">
        <v>33</v>
      </c>
      <c r="K603" s="41">
        <f t="shared" si="51"/>
        <v>1606</v>
      </c>
    </row>
    <row r="604" spans="4:11" s="41" customFormat="1">
      <c r="D604" s="51" t="s">
        <v>990</v>
      </c>
      <c r="E604" s="44"/>
      <c r="F604" s="44"/>
      <c r="G604" s="41">
        <f t="shared" si="50"/>
        <v>1607</v>
      </c>
      <c r="H604" s="45">
        <f t="shared" si="49"/>
        <v>2</v>
      </c>
      <c r="I604" s="47" t="s">
        <v>351</v>
      </c>
      <c r="J604" s="48" t="s">
        <v>33</v>
      </c>
      <c r="K604" s="41">
        <f t="shared" si="51"/>
        <v>1608</v>
      </c>
    </row>
    <row r="605" spans="4:11" s="41" customFormat="1">
      <c r="D605" s="51" t="s">
        <v>989</v>
      </c>
      <c r="E605" s="44"/>
      <c r="F605" s="44"/>
      <c r="G605" s="41">
        <f t="shared" si="50"/>
        <v>1609</v>
      </c>
      <c r="H605" s="45">
        <f t="shared" si="49"/>
        <v>2</v>
      </c>
      <c r="I605" s="47" t="s">
        <v>351</v>
      </c>
      <c r="J605" s="48" t="s">
        <v>33</v>
      </c>
      <c r="K605" s="41">
        <f t="shared" si="51"/>
        <v>1610</v>
      </c>
    </row>
    <row r="606" spans="4:11" s="41" customFormat="1">
      <c r="D606" s="51" t="s">
        <v>988</v>
      </c>
      <c r="E606" s="44"/>
      <c r="F606" s="44"/>
      <c r="G606" s="41">
        <f t="shared" si="50"/>
        <v>1611</v>
      </c>
      <c r="H606" s="45">
        <f t="shared" si="49"/>
        <v>2</v>
      </c>
      <c r="I606" s="47" t="s">
        <v>351</v>
      </c>
      <c r="J606" s="48" t="s">
        <v>33</v>
      </c>
      <c r="K606" s="41">
        <f t="shared" si="51"/>
        <v>1612</v>
      </c>
    </row>
    <row r="607" spans="4:11" s="41" customFormat="1">
      <c r="D607" s="51" t="s">
        <v>987</v>
      </c>
      <c r="E607" s="44"/>
      <c r="F607" s="44"/>
      <c r="G607" s="41">
        <f t="shared" si="50"/>
        <v>1613</v>
      </c>
      <c r="H607" s="45">
        <f t="shared" si="49"/>
        <v>2</v>
      </c>
      <c r="I607" s="47" t="s">
        <v>351</v>
      </c>
      <c r="J607" s="48" t="s">
        <v>33</v>
      </c>
      <c r="K607" s="41">
        <f t="shared" si="51"/>
        <v>1614</v>
      </c>
    </row>
    <row r="608" spans="4:11" s="41" customFormat="1">
      <c r="D608" s="51" t="s">
        <v>986</v>
      </c>
      <c r="E608" s="44"/>
      <c r="F608" s="44"/>
      <c r="G608" s="41">
        <f t="shared" si="50"/>
        <v>1615</v>
      </c>
      <c r="H608" s="45">
        <f t="shared" si="49"/>
        <v>2</v>
      </c>
      <c r="I608" s="47" t="s">
        <v>351</v>
      </c>
      <c r="J608" s="48" t="s">
        <v>33</v>
      </c>
      <c r="K608" s="41">
        <f t="shared" si="51"/>
        <v>1616</v>
      </c>
    </row>
    <row r="609" spans="4:11" s="41" customFormat="1">
      <c r="D609" s="51" t="s">
        <v>985</v>
      </c>
      <c r="E609" s="44"/>
      <c r="F609" s="44"/>
      <c r="G609" s="41">
        <f t="shared" si="50"/>
        <v>1617</v>
      </c>
      <c r="H609" s="45">
        <f t="shared" si="49"/>
        <v>2</v>
      </c>
      <c r="I609" s="47" t="s">
        <v>351</v>
      </c>
      <c r="J609" s="48" t="s">
        <v>33</v>
      </c>
      <c r="K609" s="41">
        <f t="shared" si="51"/>
        <v>1618</v>
      </c>
    </row>
    <row r="610" spans="4:11" s="41" customFormat="1">
      <c r="D610" s="51" t="s">
        <v>984</v>
      </c>
      <c r="E610" s="44"/>
      <c r="F610" s="44"/>
      <c r="G610" s="41">
        <f t="shared" si="50"/>
        <v>1619</v>
      </c>
      <c r="H610" s="45">
        <f t="shared" si="49"/>
        <v>2</v>
      </c>
      <c r="I610" s="47" t="s">
        <v>351</v>
      </c>
      <c r="J610" s="48" t="s">
        <v>33</v>
      </c>
      <c r="K610" s="41">
        <f t="shared" si="51"/>
        <v>1620</v>
      </c>
    </row>
    <row r="611" spans="4:11" s="41" customFormat="1">
      <c r="D611" s="51" t="s">
        <v>983</v>
      </c>
      <c r="E611" s="44"/>
      <c r="F611" s="44"/>
      <c r="G611" s="41">
        <f t="shared" si="50"/>
        <v>1621</v>
      </c>
      <c r="H611" s="45">
        <f t="shared" si="49"/>
        <v>2</v>
      </c>
      <c r="I611" s="47" t="s">
        <v>351</v>
      </c>
      <c r="J611" s="48" t="s">
        <v>33</v>
      </c>
      <c r="K611" s="41">
        <f t="shared" si="51"/>
        <v>1622</v>
      </c>
    </row>
    <row r="612" spans="4:11" s="41" customFormat="1">
      <c r="D612" s="51" t="s">
        <v>982</v>
      </c>
      <c r="E612" s="44"/>
      <c r="F612" s="44"/>
      <c r="G612" s="41">
        <f t="shared" si="50"/>
        <v>1623</v>
      </c>
      <c r="H612" s="45">
        <f t="shared" si="49"/>
        <v>2</v>
      </c>
      <c r="I612" s="47" t="s">
        <v>351</v>
      </c>
      <c r="J612" s="48" t="s">
        <v>33</v>
      </c>
      <c r="K612" s="41">
        <f t="shared" si="51"/>
        <v>1624</v>
      </c>
    </row>
    <row r="613" spans="4:11" s="41" customFormat="1">
      <c r="D613" s="51" t="s">
        <v>981</v>
      </c>
      <c r="E613" s="44"/>
      <c r="F613" s="44"/>
      <c r="G613" s="41">
        <f t="shared" si="50"/>
        <v>1625</v>
      </c>
      <c r="H613" s="45">
        <f t="shared" si="49"/>
        <v>2</v>
      </c>
      <c r="I613" s="47" t="s">
        <v>351</v>
      </c>
      <c r="J613" s="48" t="s">
        <v>33</v>
      </c>
      <c r="K613" s="41">
        <f t="shared" si="51"/>
        <v>1626</v>
      </c>
    </row>
    <row r="614" spans="4:11" s="41" customFormat="1">
      <c r="D614" s="51" t="s">
        <v>980</v>
      </c>
      <c r="E614" s="44"/>
      <c r="F614" s="44"/>
      <c r="G614" s="41">
        <f t="shared" si="50"/>
        <v>1627</v>
      </c>
      <c r="H614" s="45">
        <f t="shared" si="49"/>
        <v>2</v>
      </c>
      <c r="I614" s="47" t="s">
        <v>351</v>
      </c>
      <c r="J614" s="48" t="s">
        <v>33</v>
      </c>
      <c r="K614" s="41">
        <f t="shared" si="51"/>
        <v>1628</v>
      </c>
    </row>
    <row r="615" spans="4:11" s="41" customFormat="1">
      <c r="D615" s="51" t="s">
        <v>979</v>
      </c>
      <c r="E615" s="44"/>
      <c r="F615" s="44"/>
      <c r="G615" s="41">
        <f t="shared" si="50"/>
        <v>1629</v>
      </c>
      <c r="H615" s="45">
        <f t="shared" si="49"/>
        <v>2</v>
      </c>
      <c r="I615" s="47" t="s">
        <v>351</v>
      </c>
      <c r="J615" s="48" t="s">
        <v>33</v>
      </c>
      <c r="K615" s="41">
        <f t="shared" si="51"/>
        <v>1630</v>
      </c>
    </row>
    <row r="616" spans="4:11" s="41" customFormat="1">
      <c r="D616" s="51" t="s">
        <v>978</v>
      </c>
      <c r="E616" s="44"/>
      <c r="F616" s="44"/>
      <c r="G616" s="41">
        <f t="shared" si="50"/>
        <v>1631</v>
      </c>
      <c r="H616" s="45">
        <f t="shared" si="49"/>
        <v>2</v>
      </c>
      <c r="I616" s="47" t="s">
        <v>351</v>
      </c>
      <c r="J616" s="48" t="s">
        <v>33</v>
      </c>
      <c r="K616" s="41">
        <f t="shared" si="51"/>
        <v>1632</v>
      </c>
    </row>
    <row r="617" spans="4:11" s="41" customFormat="1">
      <c r="D617" s="51" t="s">
        <v>977</v>
      </c>
      <c r="E617" s="44"/>
      <c r="F617" s="44"/>
      <c r="G617" s="41">
        <f t="shared" si="50"/>
        <v>1633</v>
      </c>
      <c r="H617" s="45">
        <f t="shared" ref="H617:H640" si="52">K617-G617+1</f>
        <v>2</v>
      </c>
      <c r="I617" s="47" t="s">
        <v>351</v>
      </c>
      <c r="J617" s="48" t="s">
        <v>33</v>
      </c>
      <c r="K617" s="41">
        <f t="shared" si="51"/>
        <v>1634</v>
      </c>
    </row>
    <row r="618" spans="4:11" s="41" customFormat="1">
      <c r="D618" s="51" t="s">
        <v>976</v>
      </c>
      <c r="E618" s="44"/>
      <c r="F618" s="44"/>
      <c r="G618" s="41">
        <f t="shared" si="50"/>
        <v>1635</v>
      </c>
      <c r="H618" s="45">
        <f t="shared" si="52"/>
        <v>2</v>
      </c>
      <c r="I618" s="47" t="s">
        <v>351</v>
      </c>
      <c r="J618" s="48" t="s">
        <v>33</v>
      </c>
      <c r="K618" s="41">
        <f t="shared" si="51"/>
        <v>1636</v>
      </c>
    </row>
    <row r="619" spans="4:11" s="41" customFormat="1">
      <c r="D619" s="51" t="s">
        <v>975</v>
      </c>
      <c r="E619" s="44"/>
      <c r="F619" s="44"/>
      <c r="G619" s="41">
        <f t="shared" si="50"/>
        <v>1637</v>
      </c>
      <c r="H619" s="45">
        <f t="shared" si="52"/>
        <v>2</v>
      </c>
      <c r="I619" s="47" t="s">
        <v>351</v>
      </c>
      <c r="J619" s="48" t="s">
        <v>33</v>
      </c>
      <c r="K619" s="41">
        <f t="shared" si="51"/>
        <v>1638</v>
      </c>
    </row>
    <row r="620" spans="4:11" s="41" customFormat="1">
      <c r="D620" s="51" t="s">
        <v>974</v>
      </c>
      <c r="E620" s="44"/>
      <c r="F620" s="44"/>
      <c r="G620" s="41">
        <f t="shared" si="50"/>
        <v>1639</v>
      </c>
      <c r="H620" s="45">
        <f t="shared" si="52"/>
        <v>2</v>
      </c>
      <c r="I620" s="47" t="s">
        <v>351</v>
      </c>
      <c r="J620" s="48" t="s">
        <v>33</v>
      </c>
      <c r="K620" s="41">
        <f t="shared" si="51"/>
        <v>1640</v>
      </c>
    </row>
    <row r="621" spans="4:11" s="41" customFormat="1">
      <c r="D621" s="51" t="s">
        <v>973</v>
      </c>
      <c r="E621" s="44"/>
      <c r="F621" s="44"/>
      <c r="G621" s="41">
        <f t="shared" si="50"/>
        <v>1641</v>
      </c>
      <c r="H621" s="45">
        <f t="shared" si="52"/>
        <v>2</v>
      </c>
      <c r="I621" s="47" t="s">
        <v>351</v>
      </c>
      <c r="J621" s="48" t="s">
        <v>33</v>
      </c>
      <c r="K621" s="41">
        <f t="shared" si="51"/>
        <v>1642</v>
      </c>
    </row>
    <row r="622" spans="4:11" s="41" customFormat="1">
      <c r="D622" s="51" t="s">
        <v>972</v>
      </c>
      <c r="E622" s="44"/>
      <c r="F622" s="44"/>
      <c r="G622" s="41">
        <f t="shared" si="50"/>
        <v>1643</v>
      </c>
      <c r="H622" s="45">
        <f t="shared" si="52"/>
        <v>2</v>
      </c>
      <c r="I622" s="47" t="s">
        <v>351</v>
      </c>
      <c r="J622" s="48" t="s">
        <v>33</v>
      </c>
      <c r="K622" s="41">
        <f t="shared" si="51"/>
        <v>1644</v>
      </c>
    </row>
    <row r="623" spans="4:11" s="41" customFormat="1">
      <c r="D623" s="51" t="s">
        <v>971</v>
      </c>
      <c r="E623" s="44"/>
      <c r="F623" s="44"/>
      <c r="G623" s="41">
        <f t="shared" si="50"/>
        <v>1645</v>
      </c>
      <c r="H623" s="45">
        <f t="shared" si="52"/>
        <v>2</v>
      </c>
      <c r="I623" s="47" t="s">
        <v>351</v>
      </c>
      <c r="J623" s="48" t="s">
        <v>33</v>
      </c>
      <c r="K623" s="41">
        <f t="shared" si="51"/>
        <v>1646</v>
      </c>
    </row>
    <row r="624" spans="4:11" s="41" customFormat="1">
      <c r="D624" s="51" t="s">
        <v>970</v>
      </c>
      <c r="E624" s="44"/>
      <c r="F624" s="44"/>
      <c r="G624" s="41">
        <f t="shared" si="50"/>
        <v>1647</v>
      </c>
      <c r="H624" s="45">
        <f t="shared" si="52"/>
        <v>2</v>
      </c>
      <c r="I624" s="47" t="s">
        <v>351</v>
      </c>
      <c r="J624" s="48" t="s">
        <v>33</v>
      </c>
      <c r="K624" s="41">
        <f t="shared" si="51"/>
        <v>1648</v>
      </c>
    </row>
    <row r="625" spans="4:11" s="41" customFormat="1">
      <c r="D625" s="51" t="s">
        <v>969</v>
      </c>
      <c r="E625" s="44"/>
      <c r="F625" s="44"/>
      <c r="G625" s="41">
        <f t="shared" si="50"/>
        <v>1649</v>
      </c>
      <c r="H625" s="45">
        <f t="shared" si="52"/>
        <v>2</v>
      </c>
      <c r="I625" s="47" t="s">
        <v>351</v>
      </c>
      <c r="J625" s="48" t="s">
        <v>33</v>
      </c>
      <c r="K625" s="41">
        <f t="shared" si="51"/>
        <v>1650</v>
      </c>
    </row>
    <row r="626" spans="4:11" s="41" customFormat="1">
      <c r="D626" s="51" t="s">
        <v>968</v>
      </c>
      <c r="E626" s="44"/>
      <c r="F626" s="44"/>
      <c r="G626" s="41">
        <f t="shared" si="50"/>
        <v>1651</v>
      </c>
      <c r="H626" s="45">
        <f t="shared" si="52"/>
        <v>2</v>
      </c>
      <c r="I626" s="47" t="s">
        <v>351</v>
      </c>
      <c r="J626" s="48" t="s">
        <v>33</v>
      </c>
      <c r="K626" s="41">
        <f t="shared" si="51"/>
        <v>1652</v>
      </c>
    </row>
    <row r="627" spans="4:11" s="41" customFormat="1">
      <c r="D627" s="51" t="s">
        <v>967</v>
      </c>
      <c r="E627" s="44"/>
      <c r="F627" s="44"/>
      <c r="G627" s="41">
        <f t="shared" si="50"/>
        <v>1653</v>
      </c>
      <c r="H627" s="45">
        <f t="shared" si="52"/>
        <v>2</v>
      </c>
      <c r="I627" s="47" t="s">
        <v>351</v>
      </c>
      <c r="J627" s="48" t="s">
        <v>33</v>
      </c>
      <c r="K627" s="41">
        <f t="shared" si="51"/>
        <v>1654</v>
      </c>
    </row>
    <row r="628" spans="4:11" s="41" customFormat="1">
      <c r="D628" s="51" t="s">
        <v>966</v>
      </c>
      <c r="E628" s="44"/>
      <c r="F628" s="44"/>
      <c r="G628" s="41">
        <f t="shared" si="50"/>
        <v>1655</v>
      </c>
      <c r="H628" s="45">
        <f t="shared" si="52"/>
        <v>2</v>
      </c>
      <c r="I628" s="47" t="s">
        <v>351</v>
      </c>
      <c r="J628" s="48" t="s">
        <v>33</v>
      </c>
      <c r="K628" s="41">
        <f t="shared" si="51"/>
        <v>1656</v>
      </c>
    </row>
    <row r="629" spans="4:11" s="41" customFormat="1">
      <c r="D629" s="51" t="s">
        <v>965</v>
      </c>
      <c r="E629" s="44"/>
      <c r="F629" s="44"/>
      <c r="G629" s="41">
        <f t="shared" si="50"/>
        <v>1657</v>
      </c>
      <c r="H629" s="45">
        <f t="shared" si="52"/>
        <v>2</v>
      </c>
      <c r="I629" s="47" t="s">
        <v>351</v>
      </c>
      <c r="J629" s="48" t="s">
        <v>33</v>
      </c>
      <c r="K629" s="41">
        <f t="shared" si="51"/>
        <v>1658</v>
      </c>
    </row>
    <row r="630" spans="4:11" s="41" customFormat="1">
      <c r="D630" s="51" t="s">
        <v>964</v>
      </c>
      <c r="E630" s="44"/>
      <c r="F630" s="44"/>
      <c r="G630" s="41">
        <f t="shared" si="50"/>
        <v>1659</v>
      </c>
      <c r="H630" s="45">
        <f t="shared" si="52"/>
        <v>2</v>
      </c>
      <c r="I630" s="47" t="s">
        <v>351</v>
      </c>
      <c r="J630" s="48" t="s">
        <v>33</v>
      </c>
      <c r="K630" s="41">
        <f t="shared" si="51"/>
        <v>1660</v>
      </c>
    </row>
    <row r="631" spans="4:11" s="41" customFormat="1">
      <c r="D631" s="51" t="s">
        <v>963</v>
      </c>
      <c r="E631" s="44"/>
      <c r="F631" s="44"/>
      <c r="G631" s="41">
        <f t="shared" si="50"/>
        <v>1661</v>
      </c>
      <c r="H631" s="45">
        <f t="shared" si="52"/>
        <v>2</v>
      </c>
      <c r="I631" s="47" t="s">
        <v>351</v>
      </c>
      <c r="J631" s="48" t="s">
        <v>33</v>
      </c>
      <c r="K631" s="41">
        <f t="shared" si="51"/>
        <v>1662</v>
      </c>
    </row>
    <row r="632" spans="4:11" s="41" customFormat="1">
      <c r="D632" s="51" t="s">
        <v>962</v>
      </c>
      <c r="E632" s="44"/>
      <c r="F632" s="44"/>
      <c r="G632" s="41">
        <f t="shared" si="50"/>
        <v>1663</v>
      </c>
      <c r="H632" s="45">
        <f t="shared" si="52"/>
        <v>2</v>
      </c>
      <c r="I632" s="47" t="s">
        <v>351</v>
      </c>
      <c r="J632" s="48" t="s">
        <v>33</v>
      </c>
      <c r="K632" s="41">
        <f t="shared" si="51"/>
        <v>1664</v>
      </c>
    </row>
    <row r="633" spans="4:11" s="41" customFormat="1">
      <c r="D633" s="51" t="s">
        <v>961</v>
      </c>
      <c r="E633" s="44"/>
      <c r="F633" s="44"/>
      <c r="G633" s="41">
        <f t="shared" si="50"/>
        <v>1665</v>
      </c>
      <c r="H633" s="45">
        <f t="shared" si="52"/>
        <v>2</v>
      </c>
      <c r="I633" s="47" t="s">
        <v>351</v>
      </c>
      <c r="J633" s="48" t="s">
        <v>33</v>
      </c>
      <c r="K633" s="41">
        <f t="shared" si="51"/>
        <v>1666</v>
      </c>
    </row>
    <row r="634" spans="4:11" s="41" customFormat="1">
      <c r="D634" s="51" t="s">
        <v>960</v>
      </c>
      <c r="E634" s="44"/>
      <c r="F634" s="44"/>
      <c r="G634" s="41">
        <f t="shared" si="50"/>
        <v>1667</v>
      </c>
      <c r="H634" s="45">
        <f t="shared" si="52"/>
        <v>2</v>
      </c>
      <c r="I634" s="47" t="s">
        <v>351</v>
      </c>
      <c r="J634" s="48" t="s">
        <v>33</v>
      </c>
      <c r="K634" s="41">
        <f t="shared" si="51"/>
        <v>1668</v>
      </c>
    </row>
    <row r="635" spans="4:11" s="41" customFormat="1">
      <c r="D635" s="51" t="s">
        <v>959</v>
      </c>
      <c r="E635" s="44"/>
      <c r="F635" s="44"/>
      <c r="G635" s="41">
        <f t="shared" si="50"/>
        <v>1669</v>
      </c>
      <c r="H635" s="45">
        <f t="shared" si="52"/>
        <v>2</v>
      </c>
      <c r="I635" s="47" t="s">
        <v>351</v>
      </c>
      <c r="J635" s="48" t="s">
        <v>33</v>
      </c>
      <c r="K635" s="41">
        <f t="shared" si="51"/>
        <v>1670</v>
      </c>
    </row>
    <row r="636" spans="4:11" s="41" customFormat="1">
      <c r="D636" s="51" t="s">
        <v>958</v>
      </c>
      <c r="E636" s="44"/>
      <c r="F636" s="44"/>
      <c r="G636" s="41">
        <f t="shared" si="50"/>
        <v>1671</v>
      </c>
      <c r="H636" s="45">
        <f t="shared" si="52"/>
        <v>2</v>
      </c>
      <c r="I636" s="47" t="s">
        <v>351</v>
      </c>
      <c r="J636" s="48" t="s">
        <v>33</v>
      </c>
      <c r="K636" s="41">
        <f t="shared" si="51"/>
        <v>1672</v>
      </c>
    </row>
    <row r="637" spans="4:11" s="41" customFormat="1">
      <c r="D637" s="51" t="s">
        <v>957</v>
      </c>
      <c r="E637" s="44"/>
      <c r="F637" s="44"/>
      <c r="G637" s="41">
        <f t="shared" si="50"/>
        <v>1673</v>
      </c>
      <c r="H637" s="45">
        <f t="shared" si="52"/>
        <v>2</v>
      </c>
      <c r="I637" s="47" t="s">
        <v>351</v>
      </c>
      <c r="J637" s="48" t="s">
        <v>33</v>
      </c>
      <c r="K637" s="41">
        <f t="shared" si="51"/>
        <v>1674</v>
      </c>
    </row>
    <row r="638" spans="4:11" s="41" customFormat="1">
      <c r="D638" s="51" t="s">
        <v>956</v>
      </c>
      <c r="E638" s="44"/>
      <c r="F638" s="44"/>
      <c r="G638" s="41">
        <f t="shared" si="50"/>
        <v>1675</v>
      </c>
      <c r="H638" s="45">
        <f t="shared" si="52"/>
        <v>2</v>
      </c>
      <c r="I638" s="47" t="s">
        <v>351</v>
      </c>
      <c r="J638" s="48" t="s">
        <v>33</v>
      </c>
      <c r="K638" s="41">
        <f t="shared" si="51"/>
        <v>1676</v>
      </c>
    </row>
    <row r="639" spans="4:11" s="41" customFormat="1">
      <c r="D639" s="51" t="s">
        <v>955</v>
      </c>
      <c r="E639" s="44"/>
      <c r="F639" s="44"/>
      <c r="G639" s="41">
        <f t="shared" si="50"/>
        <v>1677</v>
      </c>
      <c r="H639" s="45">
        <f t="shared" si="52"/>
        <v>2</v>
      </c>
      <c r="I639" s="47" t="s">
        <v>351</v>
      </c>
      <c r="J639" s="48" t="s">
        <v>33</v>
      </c>
      <c r="K639" s="41">
        <f t="shared" si="51"/>
        <v>1678</v>
      </c>
    </row>
    <row r="640" spans="4:11" s="41" customFormat="1">
      <c r="D640" s="51" t="s">
        <v>954</v>
      </c>
      <c r="E640" s="44"/>
      <c r="F640" s="44"/>
      <c r="G640" s="41">
        <f t="shared" si="50"/>
        <v>1679</v>
      </c>
      <c r="H640" s="45">
        <f t="shared" si="52"/>
        <v>2</v>
      </c>
      <c r="I640" s="47" t="s">
        <v>351</v>
      </c>
      <c r="J640" s="48" t="s">
        <v>33</v>
      </c>
      <c r="K640" s="41">
        <f t="shared" si="51"/>
        <v>1680</v>
      </c>
    </row>
    <row r="641" spans="1:12" s="41" customFormat="1">
      <c r="D641" s="51"/>
      <c r="E641" s="44"/>
      <c r="F641" s="44"/>
      <c r="H641" s="44"/>
      <c r="I641" s="44"/>
      <c r="J641" s="44"/>
    </row>
    <row r="642" spans="1:12" s="43" customFormat="1">
      <c r="A642" s="42"/>
      <c r="B642" s="42" t="s">
        <v>953</v>
      </c>
      <c r="C642" s="42"/>
      <c r="D642" s="54"/>
      <c r="E642" s="46"/>
      <c r="F642" s="46"/>
      <c r="G642" s="42"/>
      <c r="H642" s="45"/>
      <c r="I642" s="46"/>
      <c r="J642" s="49"/>
      <c r="K642" s="42"/>
      <c r="L642" s="42"/>
    </row>
    <row r="643" spans="1:12" s="41" customFormat="1">
      <c r="D643" s="51" t="s">
        <v>952</v>
      </c>
      <c r="E643" s="44"/>
      <c r="F643" s="44"/>
      <c r="G643" s="41">
        <v>1801</v>
      </c>
      <c r="H643" s="45">
        <f t="shared" ref="H643:H674" si="53">K643-G643+1</f>
        <v>2</v>
      </c>
      <c r="I643" s="47" t="s">
        <v>351</v>
      </c>
      <c r="J643" s="48" t="s">
        <v>10</v>
      </c>
      <c r="K643" s="41">
        <v>1802</v>
      </c>
    </row>
    <row r="644" spans="1:12" s="41" customFormat="1">
      <c r="D644" s="51" t="s">
        <v>951</v>
      </c>
      <c r="E644" s="44"/>
      <c r="F644" s="44"/>
      <c r="G644" s="41">
        <f t="shared" ref="G644:G682" si="54">G643+2</f>
        <v>1803</v>
      </c>
      <c r="H644" s="45">
        <f t="shared" si="53"/>
        <v>2</v>
      </c>
      <c r="I644" s="47" t="s">
        <v>351</v>
      </c>
      <c r="J644" s="48" t="s">
        <v>305</v>
      </c>
      <c r="K644" s="41">
        <f t="shared" ref="K644:K682" si="55">K643 +2</f>
        <v>1804</v>
      </c>
    </row>
    <row r="645" spans="1:12" s="41" customFormat="1">
      <c r="D645" s="51" t="s">
        <v>950</v>
      </c>
      <c r="E645" s="44"/>
      <c r="F645" s="44"/>
      <c r="G645" s="41">
        <f t="shared" si="54"/>
        <v>1805</v>
      </c>
      <c r="H645" s="45">
        <f t="shared" si="53"/>
        <v>2</v>
      </c>
      <c r="I645" s="47" t="s">
        <v>351</v>
      </c>
      <c r="J645" s="48" t="s">
        <v>305</v>
      </c>
      <c r="K645" s="41">
        <f t="shared" si="55"/>
        <v>1806</v>
      </c>
    </row>
    <row r="646" spans="1:12" s="41" customFormat="1">
      <c r="D646" s="51" t="s">
        <v>949</v>
      </c>
      <c r="E646" s="44"/>
      <c r="F646" s="44"/>
      <c r="G646" s="41">
        <f t="shared" si="54"/>
        <v>1807</v>
      </c>
      <c r="H646" s="45">
        <f t="shared" si="53"/>
        <v>2</v>
      </c>
      <c r="I646" s="47" t="s">
        <v>351</v>
      </c>
      <c r="J646" s="48" t="s">
        <v>305</v>
      </c>
      <c r="K646" s="41">
        <f t="shared" si="55"/>
        <v>1808</v>
      </c>
    </row>
    <row r="647" spans="1:12" s="41" customFormat="1">
      <c r="D647" s="51" t="s">
        <v>948</v>
      </c>
      <c r="E647" s="44"/>
      <c r="F647" s="44"/>
      <c r="G647" s="41">
        <f t="shared" si="54"/>
        <v>1809</v>
      </c>
      <c r="H647" s="45">
        <f t="shared" si="53"/>
        <v>2</v>
      </c>
      <c r="I647" s="47" t="s">
        <v>351</v>
      </c>
      <c r="J647" s="48" t="s">
        <v>305</v>
      </c>
      <c r="K647" s="41">
        <f t="shared" si="55"/>
        <v>1810</v>
      </c>
    </row>
    <row r="648" spans="1:12" s="41" customFormat="1">
      <c r="D648" s="51" t="s">
        <v>947</v>
      </c>
      <c r="E648" s="44"/>
      <c r="F648" s="44"/>
      <c r="G648" s="41">
        <f t="shared" si="54"/>
        <v>1811</v>
      </c>
      <c r="H648" s="45">
        <f t="shared" si="53"/>
        <v>2</v>
      </c>
      <c r="I648" s="47" t="s">
        <v>351</v>
      </c>
      <c r="J648" s="48" t="s">
        <v>305</v>
      </c>
      <c r="K648" s="41">
        <f t="shared" si="55"/>
        <v>1812</v>
      </c>
    </row>
    <row r="649" spans="1:12" s="41" customFormat="1">
      <c r="D649" s="51" t="s">
        <v>946</v>
      </c>
      <c r="E649" s="44"/>
      <c r="F649" s="44"/>
      <c r="G649" s="41">
        <f t="shared" si="54"/>
        <v>1813</v>
      </c>
      <c r="H649" s="45">
        <f t="shared" si="53"/>
        <v>2</v>
      </c>
      <c r="I649" s="47" t="s">
        <v>351</v>
      </c>
      <c r="J649" s="48" t="s">
        <v>305</v>
      </c>
      <c r="K649" s="41">
        <f t="shared" si="55"/>
        <v>1814</v>
      </c>
    </row>
    <row r="650" spans="1:12" s="41" customFormat="1">
      <c r="D650" s="51" t="s">
        <v>945</v>
      </c>
      <c r="E650" s="44"/>
      <c r="F650" s="44"/>
      <c r="G650" s="41">
        <f t="shared" si="54"/>
        <v>1815</v>
      </c>
      <c r="H650" s="45">
        <f t="shared" si="53"/>
        <v>2</v>
      </c>
      <c r="I650" s="47" t="s">
        <v>351</v>
      </c>
      <c r="J650" s="48" t="s">
        <v>305</v>
      </c>
      <c r="K650" s="41">
        <f t="shared" si="55"/>
        <v>1816</v>
      </c>
    </row>
    <row r="651" spans="1:12" s="41" customFormat="1">
      <c r="D651" s="51" t="s">
        <v>944</v>
      </c>
      <c r="E651" s="44"/>
      <c r="F651" s="44"/>
      <c r="G651" s="41">
        <f t="shared" si="54"/>
        <v>1817</v>
      </c>
      <c r="H651" s="45">
        <f t="shared" si="53"/>
        <v>2</v>
      </c>
      <c r="I651" s="47" t="s">
        <v>351</v>
      </c>
      <c r="J651" s="48" t="s">
        <v>305</v>
      </c>
      <c r="K651" s="41">
        <f t="shared" si="55"/>
        <v>1818</v>
      </c>
    </row>
    <row r="652" spans="1:12" s="41" customFormat="1">
      <c r="D652" s="51" t="s">
        <v>943</v>
      </c>
      <c r="E652" s="44"/>
      <c r="F652" s="44"/>
      <c r="G652" s="41">
        <f t="shared" si="54"/>
        <v>1819</v>
      </c>
      <c r="H652" s="45">
        <f t="shared" si="53"/>
        <v>2</v>
      </c>
      <c r="I652" s="47" t="s">
        <v>351</v>
      </c>
      <c r="J652" s="48" t="s">
        <v>305</v>
      </c>
      <c r="K652" s="41">
        <f t="shared" si="55"/>
        <v>1820</v>
      </c>
    </row>
    <row r="653" spans="1:12" s="41" customFormat="1">
      <c r="D653" s="51" t="s">
        <v>942</v>
      </c>
      <c r="E653" s="44"/>
      <c r="F653" s="44"/>
      <c r="G653" s="41">
        <f t="shared" si="54"/>
        <v>1821</v>
      </c>
      <c r="H653" s="45">
        <f t="shared" si="53"/>
        <v>2</v>
      </c>
      <c r="I653" s="47" t="s">
        <v>351</v>
      </c>
      <c r="J653" s="48" t="s">
        <v>305</v>
      </c>
      <c r="K653" s="41">
        <f t="shared" si="55"/>
        <v>1822</v>
      </c>
    </row>
    <row r="654" spans="1:12" s="41" customFormat="1">
      <c r="D654" s="51" t="s">
        <v>941</v>
      </c>
      <c r="E654" s="44"/>
      <c r="F654" s="44"/>
      <c r="G654" s="41">
        <f t="shared" si="54"/>
        <v>1823</v>
      </c>
      <c r="H654" s="45">
        <f t="shared" si="53"/>
        <v>2</v>
      </c>
      <c r="I654" s="47" t="s">
        <v>351</v>
      </c>
      <c r="J654" s="48" t="s">
        <v>305</v>
      </c>
      <c r="K654" s="41">
        <f t="shared" si="55"/>
        <v>1824</v>
      </c>
    </row>
    <row r="655" spans="1:12" s="41" customFormat="1">
      <c r="D655" s="51" t="s">
        <v>940</v>
      </c>
      <c r="E655" s="44"/>
      <c r="F655" s="44"/>
      <c r="G655" s="41">
        <f t="shared" si="54"/>
        <v>1825</v>
      </c>
      <c r="H655" s="45">
        <f t="shared" si="53"/>
        <v>2</v>
      </c>
      <c r="I655" s="47" t="s">
        <v>351</v>
      </c>
      <c r="J655" s="48" t="s">
        <v>305</v>
      </c>
      <c r="K655" s="41">
        <f t="shared" si="55"/>
        <v>1826</v>
      </c>
    </row>
    <row r="656" spans="1:12" s="41" customFormat="1">
      <c r="D656" s="51" t="s">
        <v>939</v>
      </c>
      <c r="E656" s="44"/>
      <c r="F656" s="44"/>
      <c r="G656" s="41">
        <f t="shared" si="54"/>
        <v>1827</v>
      </c>
      <c r="H656" s="45">
        <f t="shared" si="53"/>
        <v>2</v>
      </c>
      <c r="I656" s="47" t="s">
        <v>351</v>
      </c>
      <c r="J656" s="48" t="s">
        <v>305</v>
      </c>
      <c r="K656" s="41">
        <f t="shared" si="55"/>
        <v>1828</v>
      </c>
    </row>
    <row r="657" spans="4:11" s="41" customFormat="1">
      <c r="D657" s="51" t="s">
        <v>938</v>
      </c>
      <c r="E657" s="44"/>
      <c r="F657" s="44"/>
      <c r="G657" s="41">
        <f t="shared" si="54"/>
        <v>1829</v>
      </c>
      <c r="H657" s="45">
        <f t="shared" si="53"/>
        <v>2</v>
      </c>
      <c r="I657" s="47" t="s">
        <v>351</v>
      </c>
      <c r="J657" s="48" t="s">
        <v>305</v>
      </c>
      <c r="K657" s="41">
        <f t="shared" si="55"/>
        <v>1830</v>
      </c>
    </row>
    <row r="658" spans="4:11" s="41" customFormat="1">
      <c r="D658" s="51" t="s">
        <v>937</v>
      </c>
      <c r="E658" s="44"/>
      <c r="F658" s="44"/>
      <c r="G658" s="41">
        <f t="shared" si="54"/>
        <v>1831</v>
      </c>
      <c r="H658" s="45">
        <f t="shared" si="53"/>
        <v>2</v>
      </c>
      <c r="I658" s="47" t="s">
        <v>351</v>
      </c>
      <c r="J658" s="48" t="s">
        <v>305</v>
      </c>
      <c r="K658" s="41">
        <f t="shared" si="55"/>
        <v>1832</v>
      </c>
    </row>
    <row r="659" spans="4:11" s="41" customFormat="1">
      <c r="D659" s="51" t="s">
        <v>936</v>
      </c>
      <c r="E659" s="44"/>
      <c r="F659" s="44"/>
      <c r="G659" s="41">
        <f t="shared" si="54"/>
        <v>1833</v>
      </c>
      <c r="H659" s="45">
        <f t="shared" si="53"/>
        <v>2</v>
      </c>
      <c r="I659" s="47" t="s">
        <v>351</v>
      </c>
      <c r="J659" s="48" t="s">
        <v>305</v>
      </c>
      <c r="K659" s="41">
        <f t="shared" si="55"/>
        <v>1834</v>
      </c>
    </row>
    <row r="660" spans="4:11" s="41" customFormat="1">
      <c r="D660" s="51" t="s">
        <v>935</v>
      </c>
      <c r="E660" s="44"/>
      <c r="F660" s="44"/>
      <c r="G660" s="41">
        <f t="shared" si="54"/>
        <v>1835</v>
      </c>
      <c r="H660" s="45">
        <f t="shared" si="53"/>
        <v>2</v>
      </c>
      <c r="I660" s="47" t="s">
        <v>351</v>
      </c>
      <c r="J660" s="48" t="s">
        <v>305</v>
      </c>
      <c r="K660" s="41">
        <f t="shared" si="55"/>
        <v>1836</v>
      </c>
    </row>
    <row r="661" spans="4:11" s="41" customFormat="1">
      <c r="D661" s="51" t="s">
        <v>934</v>
      </c>
      <c r="E661" s="44"/>
      <c r="F661" s="44"/>
      <c r="G661" s="41">
        <f t="shared" si="54"/>
        <v>1837</v>
      </c>
      <c r="H661" s="45">
        <f t="shared" si="53"/>
        <v>2</v>
      </c>
      <c r="I661" s="47" t="s">
        <v>351</v>
      </c>
      <c r="J661" s="48" t="s">
        <v>305</v>
      </c>
      <c r="K661" s="41">
        <f t="shared" si="55"/>
        <v>1838</v>
      </c>
    </row>
    <row r="662" spans="4:11" s="41" customFormat="1">
      <c r="D662" s="51" t="s">
        <v>933</v>
      </c>
      <c r="E662" s="44"/>
      <c r="F662" s="44"/>
      <c r="G662" s="41">
        <f t="shared" si="54"/>
        <v>1839</v>
      </c>
      <c r="H662" s="45">
        <f t="shared" si="53"/>
        <v>2</v>
      </c>
      <c r="I662" s="47" t="s">
        <v>351</v>
      </c>
      <c r="J662" s="48" t="s">
        <v>305</v>
      </c>
      <c r="K662" s="41">
        <f t="shared" si="55"/>
        <v>1840</v>
      </c>
    </row>
    <row r="663" spans="4:11" s="41" customFormat="1">
      <c r="D663" s="51" t="s">
        <v>932</v>
      </c>
      <c r="E663" s="44"/>
      <c r="F663" s="44"/>
      <c r="G663" s="41">
        <f t="shared" si="54"/>
        <v>1841</v>
      </c>
      <c r="H663" s="45">
        <f t="shared" si="53"/>
        <v>2</v>
      </c>
      <c r="I663" s="47" t="s">
        <v>351</v>
      </c>
      <c r="J663" s="48" t="s">
        <v>305</v>
      </c>
      <c r="K663" s="41">
        <f t="shared" si="55"/>
        <v>1842</v>
      </c>
    </row>
    <row r="664" spans="4:11" s="41" customFormat="1">
      <c r="D664" s="51" t="s">
        <v>931</v>
      </c>
      <c r="E664" s="44"/>
      <c r="F664" s="44"/>
      <c r="G664" s="41">
        <f t="shared" si="54"/>
        <v>1843</v>
      </c>
      <c r="H664" s="45">
        <f t="shared" si="53"/>
        <v>2</v>
      </c>
      <c r="I664" s="47" t="s">
        <v>351</v>
      </c>
      <c r="J664" s="48" t="s">
        <v>305</v>
      </c>
      <c r="K664" s="41">
        <f t="shared" si="55"/>
        <v>1844</v>
      </c>
    </row>
    <row r="665" spans="4:11" s="41" customFormat="1">
      <c r="D665" s="51" t="s">
        <v>930</v>
      </c>
      <c r="E665" s="44"/>
      <c r="F665" s="44"/>
      <c r="G665" s="41">
        <f t="shared" si="54"/>
        <v>1845</v>
      </c>
      <c r="H665" s="45">
        <f t="shared" si="53"/>
        <v>2</v>
      </c>
      <c r="I665" s="47" t="s">
        <v>351</v>
      </c>
      <c r="J665" s="48" t="s">
        <v>305</v>
      </c>
      <c r="K665" s="41">
        <f t="shared" si="55"/>
        <v>1846</v>
      </c>
    </row>
    <row r="666" spans="4:11" s="41" customFormat="1">
      <c r="D666" s="51" t="s">
        <v>929</v>
      </c>
      <c r="E666" s="44"/>
      <c r="F666" s="44"/>
      <c r="G666" s="41">
        <f t="shared" si="54"/>
        <v>1847</v>
      </c>
      <c r="H666" s="45">
        <f t="shared" si="53"/>
        <v>2</v>
      </c>
      <c r="I666" s="47" t="s">
        <v>351</v>
      </c>
      <c r="J666" s="48" t="s">
        <v>305</v>
      </c>
      <c r="K666" s="41">
        <f t="shared" si="55"/>
        <v>1848</v>
      </c>
    </row>
    <row r="667" spans="4:11" s="41" customFormat="1">
      <c r="D667" s="51" t="s">
        <v>928</v>
      </c>
      <c r="E667" s="44"/>
      <c r="F667" s="44"/>
      <c r="G667" s="41">
        <f t="shared" si="54"/>
        <v>1849</v>
      </c>
      <c r="H667" s="45">
        <f t="shared" si="53"/>
        <v>2</v>
      </c>
      <c r="I667" s="47" t="s">
        <v>351</v>
      </c>
      <c r="J667" s="48" t="s">
        <v>305</v>
      </c>
      <c r="K667" s="41">
        <f t="shared" si="55"/>
        <v>1850</v>
      </c>
    </row>
    <row r="668" spans="4:11" s="41" customFormat="1">
      <c r="D668" s="51" t="s">
        <v>927</v>
      </c>
      <c r="E668" s="44"/>
      <c r="F668" s="44"/>
      <c r="G668" s="41">
        <f t="shared" si="54"/>
        <v>1851</v>
      </c>
      <c r="H668" s="45">
        <f t="shared" si="53"/>
        <v>2</v>
      </c>
      <c r="I668" s="47" t="s">
        <v>351</v>
      </c>
      <c r="J668" s="48" t="s">
        <v>305</v>
      </c>
      <c r="K668" s="41">
        <f t="shared" si="55"/>
        <v>1852</v>
      </c>
    </row>
    <row r="669" spans="4:11" s="41" customFormat="1">
      <c r="D669" s="51" t="s">
        <v>926</v>
      </c>
      <c r="E669" s="44"/>
      <c r="F669" s="44"/>
      <c r="G669" s="41">
        <f t="shared" si="54"/>
        <v>1853</v>
      </c>
      <c r="H669" s="45">
        <f t="shared" si="53"/>
        <v>2</v>
      </c>
      <c r="I669" s="47" t="s">
        <v>351</v>
      </c>
      <c r="J669" s="48" t="s">
        <v>305</v>
      </c>
      <c r="K669" s="41">
        <f t="shared" si="55"/>
        <v>1854</v>
      </c>
    </row>
    <row r="670" spans="4:11" s="41" customFormat="1">
      <c r="D670" s="51" t="s">
        <v>925</v>
      </c>
      <c r="E670" s="44"/>
      <c r="F670" s="44"/>
      <c r="G670" s="41">
        <f t="shared" si="54"/>
        <v>1855</v>
      </c>
      <c r="H670" s="45">
        <f t="shared" si="53"/>
        <v>2</v>
      </c>
      <c r="I670" s="47" t="s">
        <v>351</v>
      </c>
      <c r="J670" s="48" t="s">
        <v>305</v>
      </c>
      <c r="K670" s="41">
        <f t="shared" si="55"/>
        <v>1856</v>
      </c>
    </row>
    <row r="671" spans="4:11" s="41" customFormat="1">
      <c r="D671" s="51" t="s">
        <v>924</v>
      </c>
      <c r="E671" s="44"/>
      <c r="F671" s="44"/>
      <c r="G671" s="41">
        <f t="shared" si="54"/>
        <v>1857</v>
      </c>
      <c r="H671" s="45">
        <f t="shared" si="53"/>
        <v>2</v>
      </c>
      <c r="I671" s="47" t="s">
        <v>351</v>
      </c>
      <c r="J671" s="48" t="s">
        <v>305</v>
      </c>
      <c r="K671" s="41">
        <f t="shared" si="55"/>
        <v>1858</v>
      </c>
    </row>
    <row r="672" spans="4:11" s="41" customFormat="1">
      <c r="D672" s="51" t="s">
        <v>923</v>
      </c>
      <c r="E672" s="44"/>
      <c r="F672" s="44"/>
      <c r="G672" s="41">
        <f t="shared" si="54"/>
        <v>1859</v>
      </c>
      <c r="H672" s="45">
        <f t="shared" si="53"/>
        <v>2</v>
      </c>
      <c r="I672" s="47" t="s">
        <v>351</v>
      </c>
      <c r="J672" s="48" t="s">
        <v>305</v>
      </c>
      <c r="K672" s="41">
        <f t="shared" si="55"/>
        <v>1860</v>
      </c>
    </row>
    <row r="673" spans="4:11" s="41" customFormat="1">
      <c r="D673" s="51" t="s">
        <v>922</v>
      </c>
      <c r="E673" s="44"/>
      <c r="F673" s="44"/>
      <c r="G673" s="41">
        <f t="shared" si="54"/>
        <v>1861</v>
      </c>
      <c r="H673" s="45">
        <f t="shared" si="53"/>
        <v>2</v>
      </c>
      <c r="I673" s="47" t="s">
        <v>351</v>
      </c>
      <c r="J673" s="48" t="s">
        <v>305</v>
      </c>
      <c r="K673" s="41">
        <f t="shared" si="55"/>
        <v>1862</v>
      </c>
    </row>
    <row r="674" spans="4:11" s="41" customFormat="1">
      <c r="D674" s="51" t="s">
        <v>921</v>
      </c>
      <c r="E674" s="44"/>
      <c r="F674" s="44"/>
      <c r="G674" s="41">
        <f t="shared" si="54"/>
        <v>1863</v>
      </c>
      <c r="H674" s="45">
        <f t="shared" si="53"/>
        <v>2</v>
      </c>
      <c r="I674" s="47" t="s">
        <v>351</v>
      </c>
      <c r="J674" s="48" t="s">
        <v>305</v>
      </c>
      <c r="K674" s="41">
        <f t="shared" si="55"/>
        <v>1864</v>
      </c>
    </row>
    <row r="675" spans="4:11" s="41" customFormat="1">
      <c r="D675" s="51" t="s">
        <v>920</v>
      </c>
      <c r="E675" s="44"/>
      <c r="F675" s="44"/>
      <c r="G675" s="41">
        <f t="shared" si="54"/>
        <v>1865</v>
      </c>
      <c r="H675" s="45">
        <f t="shared" ref="H675:H706" si="56">K675-G675+1</f>
        <v>2</v>
      </c>
      <c r="I675" s="47" t="s">
        <v>351</v>
      </c>
      <c r="J675" s="48" t="s">
        <v>305</v>
      </c>
      <c r="K675" s="41">
        <f t="shared" si="55"/>
        <v>1866</v>
      </c>
    </row>
    <row r="676" spans="4:11" s="41" customFormat="1">
      <c r="D676" s="51" t="s">
        <v>919</v>
      </c>
      <c r="E676" s="44"/>
      <c r="F676" s="44"/>
      <c r="G676" s="41">
        <f t="shared" si="54"/>
        <v>1867</v>
      </c>
      <c r="H676" s="45">
        <f t="shared" si="56"/>
        <v>2</v>
      </c>
      <c r="I676" s="47" t="s">
        <v>351</v>
      </c>
      <c r="J676" s="48" t="s">
        <v>305</v>
      </c>
      <c r="K676" s="41">
        <f t="shared" si="55"/>
        <v>1868</v>
      </c>
    </row>
    <row r="677" spans="4:11" s="41" customFormat="1">
      <c r="D677" s="51" t="s">
        <v>918</v>
      </c>
      <c r="E677" s="44"/>
      <c r="F677" s="44"/>
      <c r="G677" s="41">
        <f t="shared" si="54"/>
        <v>1869</v>
      </c>
      <c r="H677" s="45">
        <f t="shared" si="56"/>
        <v>2</v>
      </c>
      <c r="I677" s="47" t="s">
        <v>351</v>
      </c>
      <c r="J677" s="48" t="s">
        <v>305</v>
      </c>
      <c r="K677" s="41">
        <f t="shared" si="55"/>
        <v>1870</v>
      </c>
    </row>
    <row r="678" spans="4:11" s="41" customFormat="1">
      <c r="D678" s="51" t="s">
        <v>917</v>
      </c>
      <c r="E678" s="44"/>
      <c r="F678" s="44"/>
      <c r="G678" s="41">
        <f t="shared" si="54"/>
        <v>1871</v>
      </c>
      <c r="H678" s="45">
        <f t="shared" si="56"/>
        <v>2</v>
      </c>
      <c r="I678" s="47" t="s">
        <v>351</v>
      </c>
      <c r="J678" s="48" t="s">
        <v>305</v>
      </c>
      <c r="K678" s="41">
        <f t="shared" si="55"/>
        <v>1872</v>
      </c>
    </row>
    <row r="679" spans="4:11" s="41" customFormat="1">
      <c r="D679" s="51" t="s">
        <v>916</v>
      </c>
      <c r="E679" s="44"/>
      <c r="F679" s="44"/>
      <c r="G679" s="41">
        <f t="shared" si="54"/>
        <v>1873</v>
      </c>
      <c r="H679" s="45">
        <f t="shared" si="56"/>
        <v>2</v>
      </c>
      <c r="I679" s="47" t="s">
        <v>351</v>
      </c>
      <c r="J679" s="48" t="s">
        <v>305</v>
      </c>
      <c r="K679" s="41">
        <f t="shared" si="55"/>
        <v>1874</v>
      </c>
    </row>
    <row r="680" spans="4:11" s="41" customFormat="1">
      <c r="D680" s="51" t="s">
        <v>915</v>
      </c>
      <c r="E680" s="44"/>
      <c r="F680" s="44"/>
      <c r="G680" s="41">
        <f t="shared" si="54"/>
        <v>1875</v>
      </c>
      <c r="H680" s="45">
        <f t="shared" si="56"/>
        <v>2</v>
      </c>
      <c r="I680" s="47" t="s">
        <v>351</v>
      </c>
      <c r="J680" s="48" t="s">
        <v>305</v>
      </c>
      <c r="K680" s="41">
        <f t="shared" si="55"/>
        <v>1876</v>
      </c>
    </row>
    <row r="681" spans="4:11" s="41" customFormat="1">
      <c r="D681" s="51" t="s">
        <v>914</v>
      </c>
      <c r="E681" s="44"/>
      <c r="F681" s="44"/>
      <c r="G681" s="41">
        <f t="shared" si="54"/>
        <v>1877</v>
      </c>
      <c r="H681" s="45">
        <f t="shared" si="56"/>
        <v>2</v>
      </c>
      <c r="I681" s="47" t="s">
        <v>351</v>
      </c>
      <c r="J681" s="48" t="s">
        <v>305</v>
      </c>
      <c r="K681" s="41">
        <f t="shared" si="55"/>
        <v>1878</v>
      </c>
    </row>
    <row r="682" spans="4:11" s="41" customFormat="1">
      <c r="D682" s="51" t="s">
        <v>913</v>
      </c>
      <c r="E682" s="44"/>
      <c r="F682" s="44"/>
      <c r="G682" s="41">
        <f t="shared" si="54"/>
        <v>1879</v>
      </c>
      <c r="H682" s="45">
        <f t="shared" si="56"/>
        <v>2</v>
      </c>
      <c r="I682" s="47" t="s">
        <v>351</v>
      </c>
      <c r="J682" s="48" t="s">
        <v>305</v>
      </c>
      <c r="K682" s="41">
        <f t="shared" si="55"/>
        <v>1880</v>
      </c>
    </row>
    <row r="683" spans="4:11" s="41" customFormat="1">
      <c r="D683" s="51" t="s">
        <v>912</v>
      </c>
      <c r="E683" s="44"/>
      <c r="F683" s="44"/>
      <c r="G683" s="41">
        <v>1901</v>
      </c>
      <c r="H683" s="45">
        <f t="shared" si="56"/>
        <v>2</v>
      </c>
      <c r="I683" s="47" t="s">
        <v>351</v>
      </c>
      <c r="J683" s="48" t="s">
        <v>10</v>
      </c>
      <c r="K683" s="41">
        <v>1902</v>
      </c>
    </row>
    <row r="684" spans="4:11" s="41" customFormat="1">
      <c r="D684" s="51" t="s">
        <v>911</v>
      </c>
      <c r="E684" s="44"/>
      <c r="F684" s="44"/>
      <c r="G684" s="41">
        <f t="shared" ref="G684:G722" si="57">G683+2</f>
        <v>1903</v>
      </c>
      <c r="H684" s="45">
        <f t="shared" si="56"/>
        <v>2</v>
      </c>
      <c r="I684" s="47" t="s">
        <v>351</v>
      </c>
      <c r="J684" s="48" t="s">
        <v>305</v>
      </c>
      <c r="K684" s="41">
        <f t="shared" ref="K684:K722" si="58">K683 +2</f>
        <v>1904</v>
      </c>
    </row>
    <row r="685" spans="4:11" s="41" customFormat="1">
      <c r="D685" s="51" t="s">
        <v>910</v>
      </c>
      <c r="E685" s="44"/>
      <c r="F685" s="44"/>
      <c r="G685" s="41">
        <f t="shared" si="57"/>
        <v>1905</v>
      </c>
      <c r="H685" s="45">
        <f t="shared" si="56"/>
        <v>2</v>
      </c>
      <c r="I685" s="47" t="s">
        <v>351</v>
      </c>
      <c r="J685" s="48" t="s">
        <v>305</v>
      </c>
      <c r="K685" s="41">
        <f t="shared" si="58"/>
        <v>1906</v>
      </c>
    </row>
    <row r="686" spans="4:11" s="41" customFormat="1">
      <c r="D686" s="51" t="s">
        <v>909</v>
      </c>
      <c r="E686" s="44"/>
      <c r="F686" s="44"/>
      <c r="G686" s="41">
        <f t="shared" si="57"/>
        <v>1907</v>
      </c>
      <c r="H686" s="45">
        <f t="shared" si="56"/>
        <v>2</v>
      </c>
      <c r="I686" s="47" t="s">
        <v>351</v>
      </c>
      <c r="J686" s="48" t="s">
        <v>305</v>
      </c>
      <c r="K686" s="41">
        <f t="shared" si="58"/>
        <v>1908</v>
      </c>
    </row>
    <row r="687" spans="4:11" s="41" customFormat="1">
      <c r="D687" s="51" t="s">
        <v>908</v>
      </c>
      <c r="E687" s="44"/>
      <c r="F687" s="44"/>
      <c r="G687" s="41">
        <f t="shared" si="57"/>
        <v>1909</v>
      </c>
      <c r="H687" s="45">
        <f t="shared" si="56"/>
        <v>2</v>
      </c>
      <c r="I687" s="47" t="s">
        <v>351</v>
      </c>
      <c r="J687" s="48" t="s">
        <v>305</v>
      </c>
      <c r="K687" s="41">
        <f t="shared" si="58"/>
        <v>1910</v>
      </c>
    </row>
    <row r="688" spans="4:11" s="41" customFormat="1">
      <c r="D688" s="51" t="s">
        <v>907</v>
      </c>
      <c r="E688" s="44"/>
      <c r="F688" s="44"/>
      <c r="G688" s="41">
        <f t="shared" si="57"/>
        <v>1911</v>
      </c>
      <c r="H688" s="45">
        <f t="shared" si="56"/>
        <v>2</v>
      </c>
      <c r="I688" s="47" t="s">
        <v>351</v>
      </c>
      <c r="J688" s="48" t="s">
        <v>305</v>
      </c>
      <c r="K688" s="41">
        <f t="shared" si="58"/>
        <v>1912</v>
      </c>
    </row>
    <row r="689" spans="4:11" s="41" customFormat="1">
      <c r="D689" s="51" t="s">
        <v>906</v>
      </c>
      <c r="E689" s="44"/>
      <c r="F689" s="44"/>
      <c r="G689" s="41">
        <f t="shared" si="57"/>
        <v>1913</v>
      </c>
      <c r="H689" s="45">
        <f t="shared" si="56"/>
        <v>2</v>
      </c>
      <c r="I689" s="47" t="s">
        <v>351</v>
      </c>
      <c r="J689" s="48" t="s">
        <v>305</v>
      </c>
      <c r="K689" s="41">
        <f t="shared" si="58"/>
        <v>1914</v>
      </c>
    </row>
    <row r="690" spans="4:11" s="41" customFormat="1">
      <c r="D690" s="51" t="s">
        <v>905</v>
      </c>
      <c r="E690" s="44"/>
      <c r="F690" s="44"/>
      <c r="G690" s="41">
        <f t="shared" si="57"/>
        <v>1915</v>
      </c>
      <c r="H690" s="45">
        <f t="shared" si="56"/>
        <v>2</v>
      </c>
      <c r="I690" s="47" t="s">
        <v>351</v>
      </c>
      <c r="J690" s="48" t="s">
        <v>305</v>
      </c>
      <c r="K690" s="41">
        <f t="shared" si="58"/>
        <v>1916</v>
      </c>
    </row>
    <row r="691" spans="4:11" s="41" customFormat="1">
      <c r="D691" s="51" t="s">
        <v>904</v>
      </c>
      <c r="E691" s="44"/>
      <c r="F691" s="44"/>
      <c r="G691" s="41">
        <f t="shared" si="57"/>
        <v>1917</v>
      </c>
      <c r="H691" s="45">
        <f t="shared" si="56"/>
        <v>2</v>
      </c>
      <c r="I691" s="47" t="s">
        <v>351</v>
      </c>
      <c r="J691" s="48" t="s">
        <v>305</v>
      </c>
      <c r="K691" s="41">
        <f t="shared" si="58"/>
        <v>1918</v>
      </c>
    </row>
    <row r="692" spans="4:11" s="41" customFormat="1">
      <c r="D692" s="51" t="s">
        <v>903</v>
      </c>
      <c r="E692" s="44"/>
      <c r="F692" s="44"/>
      <c r="G692" s="41">
        <f t="shared" si="57"/>
        <v>1919</v>
      </c>
      <c r="H692" s="45">
        <f t="shared" si="56"/>
        <v>2</v>
      </c>
      <c r="I692" s="47" t="s">
        <v>351</v>
      </c>
      <c r="J692" s="48" t="s">
        <v>305</v>
      </c>
      <c r="K692" s="41">
        <f t="shared" si="58"/>
        <v>1920</v>
      </c>
    </row>
    <row r="693" spans="4:11" s="41" customFormat="1">
      <c r="D693" s="51" t="s">
        <v>902</v>
      </c>
      <c r="E693" s="44"/>
      <c r="F693" s="44"/>
      <c r="G693" s="41">
        <f t="shared" si="57"/>
        <v>1921</v>
      </c>
      <c r="H693" s="45">
        <f t="shared" si="56"/>
        <v>2</v>
      </c>
      <c r="I693" s="47" t="s">
        <v>351</v>
      </c>
      <c r="J693" s="48" t="s">
        <v>305</v>
      </c>
      <c r="K693" s="41">
        <f t="shared" si="58"/>
        <v>1922</v>
      </c>
    </row>
    <row r="694" spans="4:11" s="41" customFormat="1">
      <c r="D694" s="51" t="s">
        <v>901</v>
      </c>
      <c r="E694" s="44"/>
      <c r="F694" s="44"/>
      <c r="G694" s="41">
        <f t="shared" si="57"/>
        <v>1923</v>
      </c>
      <c r="H694" s="45">
        <f t="shared" si="56"/>
        <v>2</v>
      </c>
      <c r="I694" s="47" t="s">
        <v>351</v>
      </c>
      <c r="J694" s="48" t="s">
        <v>305</v>
      </c>
      <c r="K694" s="41">
        <f t="shared" si="58"/>
        <v>1924</v>
      </c>
    </row>
    <row r="695" spans="4:11" s="41" customFormat="1">
      <c r="D695" s="51" t="s">
        <v>900</v>
      </c>
      <c r="E695" s="44"/>
      <c r="F695" s="44"/>
      <c r="G695" s="41">
        <f t="shared" si="57"/>
        <v>1925</v>
      </c>
      <c r="H695" s="45">
        <f t="shared" si="56"/>
        <v>2</v>
      </c>
      <c r="I695" s="47" t="s">
        <v>351</v>
      </c>
      <c r="J695" s="48" t="s">
        <v>305</v>
      </c>
      <c r="K695" s="41">
        <f t="shared" si="58"/>
        <v>1926</v>
      </c>
    </row>
    <row r="696" spans="4:11" s="41" customFormat="1">
      <c r="D696" s="51" t="s">
        <v>899</v>
      </c>
      <c r="E696" s="44"/>
      <c r="F696" s="44"/>
      <c r="G696" s="41">
        <f t="shared" si="57"/>
        <v>1927</v>
      </c>
      <c r="H696" s="45">
        <f t="shared" si="56"/>
        <v>2</v>
      </c>
      <c r="I696" s="47" t="s">
        <v>351</v>
      </c>
      <c r="J696" s="48" t="s">
        <v>305</v>
      </c>
      <c r="K696" s="41">
        <f t="shared" si="58"/>
        <v>1928</v>
      </c>
    </row>
    <row r="697" spans="4:11" s="41" customFormat="1">
      <c r="D697" s="51" t="s">
        <v>898</v>
      </c>
      <c r="E697" s="44"/>
      <c r="F697" s="44"/>
      <c r="G697" s="41">
        <f t="shared" si="57"/>
        <v>1929</v>
      </c>
      <c r="H697" s="45">
        <f t="shared" si="56"/>
        <v>2</v>
      </c>
      <c r="I697" s="47" t="s">
        <v>351</v>
      </c>
      <c r="J697" s="48" t="s">
        <v>305</v>
      </c>
      <c r="K697" s="41">
        <f t="shared" si="58"/>
        <v>1930</v>
      </c>
    </row>
    <row r="698" spans="4:11" s="41" customFormat="1">
      <c r="D698" s="51" t="s">
        <v>897</v>
      </c>
      <c r="E698" s="44"/>
      <c r="F698" s="44"/>
      <c r="G698" s="41">
        <f t="shared" si="57"/>
        <v>1931</v>
      </c>
      <c r="H698" s="45">
        <f t="shared" si="56"/>
        <v>2</v>
      </c>
      <c r="I698" s="47" t="s">
        <v>351</v>
      </c>
      <c r="J698" s="48" t="s">
        <v>305</v>
      </c>
      <c r="K698" s="41">
        <f t="shared" si="58"/>
        <v>1932</v>
      </c>
    </row>
    <row r="699" spans="4:11" s="41" customFormat="1">
      <c r="D699" s="51" t="s">
        <v>896</v>
      </c>
      <c r="E699" s="44"/>
      <c r="F699" s="44"/>
      <c r="G699" s="41">
        <f t="shared" si="57"/>
        <v>1933</v>
      </c>
      <c r="H699" s="45">
        <f t="shared" si="56"/>
        <v>2</v>
      </c>
      <c r="I699" s="47" t="s">
        <v>351</v>
      </c>
      <c r="J699" s="48" t="s">
        <v>305</v>
      </c>
      <c r="K699" s="41">
        <f t="shared" si="58"/>
        <v>1934</v>
      </c>
    </row>
    <row r="700" spans="4:11" s="41" customFormat="1">
      <c r="D700" s="51" t="s">
        <v>895</v>
      </c>
      <c r="E700" s="44"/>
      <c r="F700" s="44"/>
      <c r="G700" s="41">
        <f t="shared" si="57"/>
        <v>1935</v>
      </c>
      <c r="H700" s="45">
        <f t="shared" si="56"/>
        <v>2</v>
      </c>
      <c r="I700" s="47" t="s">
        <v>351</v>
      </c>
      <c r="J700" s="48" t="s">
        <v>305</v>
      </c>
      <c r="K700" s="41">
        <f t="shared" si="58"/>
        <v>1936</v>
      </c>
    </row>
    <row r="701" spans="4:11" s="41" customFormat="1">
      <c r="D701" s="51" t="s">
        <v>894</v>
      </c>
      <c r="E701" s="44"/>
      <c r="F701" s="44"/>
      <c r="G701" s="41">
        <f t="shared" si="57"/>
        <v>1937</v>
      </c>
      <c r="H701" s="45">
        <f t="shared" si="56"/>
        <v>2</v>
      </c>
      <c r="I701" s="47" t="s">
        <v>351</v>
      </c>
      <c r="J701" s="48" t="s">
        <v>305</v>
      </c>
      <c r="K701" s="41">
        <f t="shared" si="58"/>
        <v>1938</v>
      </c>
    </row>
    <row r="702" spans="4:11" s="41" customFormat="1">
      <c r="D702" s="51" t="s">
        <v>893</v>
      </c>
      <c r="E702" s="44"/>
      <c r="F702" s="44"/>
      <c r="G702" s="41">
        <f t="shared" si="57"/>
        <v>1939</v>
      </c>
      <c r="H702" s="45">
        <f t="shared" si="56"/>
        <v>2</v>
      </c>
      <c r="I702" s="47" t="s">
        <v>351</v>
      </c>
      <c r="J702" s="48" t="s">
        <v>305</v>
      </c>
      <c r="K702" s="41">
        <f t="shared" si="58"/>
        <v>1940</v>
      </c>
    </row>
    <row r="703" spans="4:11" s="41" customFormat="1">
      <c r="D703" s="51" t="s">
        <v>892</v>
      </c>
      <c r="E703" s="44"/>
      <c r="F703" s="44"/>
      <c r="G703" s="41">
        <f t="shared" si="57"/>
        <v>1941</v>
      </c>
      <c r="H703" s="45">
        <f t="shared" si="56"/>
        <v>2</v>
      </c>
      <c r="I703" s="47" t="s">
        <v>351</v>
      </c>
      <c r="J703" s="48" t="s">
        <v>305</v>
      </c>
      <c r="K703" s="41">
        <f t="shared" si="58"/>
        <v>1942</v>
      </c>
    </row>
    <row r="704" spans="4:11" s="41" customFormat="1">
      <c r="D704" s="51" t="s">
        <v>891</v>
      </c>
      <c r="E704" s="44"/>
      <c r="F704" s="44"/>
      <c r="G704" s="41">
        <f t="shared" si="57"/>
        <v>1943</v>
      </c>
      <c r="H704" s="45">
        <f t="shared" si="56"/>
        <v>2</v>
      </c>
      <c r="I704" s="47" t="s">
        <v>351</v>
      </c>
      <c r="J704" s="48" t="s">
        <v>305</v>
      </c>
      <c r="K704" s="41">
        <f t="shared" si="58"/>
        <v>1944</v>
      </c>
    </row>
    <row r="705" spans="4:11" s="41" customFormat="1">
      <c r="D705" s="51" t="s">
        <v>890</v>
      </c>
      <c r="E705" s="44"/>
      <c r="F705" s="44"/>
      <c r="G705" s="41">
        <f t="shared" si="57"/>
        <v>1945</v>
      </c>
      <c r="H705" s="45">
        <f t="shared" si="56"/>
        <v>2</v>
      </c>
      <c r="I705" s="47" t="s">
        <v>351</v>
      </c>
      <c r="J705" s="48" t="s">
        <v>305</v>
      </c>
      <c r="K705" s="41">
        <f t="shared" si="58"/>
        <v>1946</v>
      </c>
    </row>
    <row r="706" spans="4:11" s="41" customFormat="1">
      <c r="D706" s="51" t="s">
        <v>889</v>
      </c>
      <c r="E706" s="44"/>
      <c r="F706" s="44"/>
      <c r="G706" s="41">
        <f t="shared" si="57"/>
        <v>1947</v>
      </c>
      <c r="H706" s="45">
        <f t="shared" si="56"/>
        <v>2</v>
      </c>
      <c r="I706" s="47" t="s">
        <v>351</v>
      </c>
      <c r="J706" s="48" t="s">
        <v>305</v>
      </c>
      <c r="K706" s="41">
        <f t="shared" si="58"/>
        <v>1948</v>
      </c>
    </row>
    <row r="707" spans="4:11" s="41" customFormat="1">
      <c r="D707" s="51" t="s">
        <v>888</v>
      </c>
      <c r="E707" s="44"/>
      <c r="F707" s="44"/>
      <c r="G707" s="41">
        <f t="shared" si="57"/>
        <v>1949</v>
      </c>
      <c r="H707" s="45">
        <f t="shared" ref="H707:H738" si="59">K707-G707+1</f>
        <v>2</v>
      </c>
      <c r="I707" s="47" t="s">
        <v>351</v>
      </c>
      <c r="J707" s="48" t="s">
        <v>305</v>
      </c>
      <c r="K707" s="41">
        <f t="shared" si="58"/>
        <v>1950</v>
      </c>
    </row>
    <row r="708" spans="4:11" s="41" customFormat="1">
      <c r="D708" s="51" t="s">
        <v>887</v>
      </c>
      <c r="E708" s="44"/>
      <c r="F708" s="44"/>
      <c r="G708" s="41">
        <f t="shared" si="57"/>
        <v>1951</v>
      </c>
      <c r="H708" s="45">
        <f t="shared" si="59"/>
        <v>2</v>
      </c>
      <c r="I708" s="47" t="s">
        <v>351</v>
      </c>
      <c r="J708" s="48" t="s">
        <v>305</v>
      </c>
      <c r="K708" s="41">
        <f t="shared" si="58"/>
        <v>1952</v>
      </c>
    </row>
    <row r="709" spans="4:11" s="41" customFormat="1">
      <c r="D709" s="51" t="s">
        <v>886</v>
      </c>
      <c r="E709" s="44"/>
      <c r="F709" s="44"/>
      <c r="G709" s="41">
        <f t="shared" si="57"/>
        <v>1953</v>
      </c>
      <c r="H709" s="45">
        <f t="shared" si="59"/>
        <v>2</v>
      </c>
      <c r="I709" s="47" t="s">
        <v>351</v>
      </c>
      <c r="J709" s="48" t="s">
        <v>305</v>
      </c>
      <c r="K709" s="41">
        <f t="shared" si="58"/>
        <v>1954</v>
      </c>
    </row>
    <row r="710" spans="4:11" s="41" customFormat="1">
      <c r="D710" s="51" t="s">
        <v>885</v>
      </c>
      <c r="E710" s="44"/>
      <c r="F710" s="44"/>
      <c r="G710" s="41">
        <f t="shared" si="57"/>
        <v>1955</v>
      </c>
      <c r="H710" s="45">
        <f t="shared" si="59"/>
        <v>2</v>
      </c>
      <c r="I710" s="47" t="s">
        <v>351</v>
      </c>
      <c r="J710" s="48" t="s">
        <v>305</v>
      </c>
      <c r="K710" s="41">
        <f t="shared" si="58"/>
        <v>1956</v>
      </c>
    </row>
    <row r="711" spans="4:11" s="41" customFormat="1">
      <c r="D711" s="51" t="s">
        <v>884</v>
      </c>
      <c r="E711" s="44"/>
      <c r="F711" s="44"/>
      <c r="G711" s="41">
        <f t="shared" si="57"/>
        <v>1957</v>
      </c>
      <c r="H711" s="45">
        <f t="shared" si="59"/>
        <v>2</v>
      </c>
      <c r="I711" s="47" t="s">
        <v>351</v>
      </c>
      <c r="J711" s="48" t="s">
        <v>305</v>
      </c>
      <c r="K711" s="41">
        <f t="shared" si="58"/>
        <v>1958</v>
      </c>
    </row>
    <row r="712" spans="4:11" s="41" customFormat="1">
      <c r="D712" s="51" t="s">
        <v>883</v>
      </c>
      <c r="E712" s="44"/>
      <c r="F712" s="44"/>
      <c r="G712" s="41">
        <f t="shared" si="57"/>
        <v>1959</v>
      </c>
      <c r="H712" s="45">
        <f t="shared" si="59"/>
        <v>2</v>
      </c>
      <c r="I712" s="47" t="s">
        <v>351</v>
      </c>
      <c r="J712" s="48" t="s">
        <v>305</v>
      </c>
      <c r="K712" s="41">
        <f t="shared" si="58"/>
        <v>1960</v>
      </c>
    </row>
    <row r="713" spans="4:11" s="41" customFormat="1">
      <c r="D713" s="51" t="s">
        <v>882</v>
      </c>
      <c r="E713" s="44"/>
      <c r="F713" s="44"/>
      <c r="G713" s="41">
        <f t="shared" si="57"/>
        <v>1961</v>
      </c>
      <c r="H713" s="45">
        <f t="shared" si="59"/>
        <v>2</v>
      </c>
      <c r="I713" s="47" t="s">
        <v>351</v>
      </c>
      <c r="J713" s="48" t="s">
        <v>305</v>
      </c>
      <c r="K713" s="41">
        <f t="shared" si="58"/>
        <v>1962</v>
      </c>
    </row>
    <row r="714" spans="4:11" s="41" customFormat="1">
      <c r="D714" s="51" t="s">
        <v>881</v>
      </c>
      <c r="E714" s="44"/>
      <c r="F714" s="44"/>
      <c r="G714" s="41">
        <f t="shared" si="57"/>
        <v>1963</v>
      </c>
      <c r="H714" s="45">
        <f t="shared" si="59"/>
        <v>2</v>
      </c>
      <c r="I714" s="47" t="s">
        <v>351</v>
      </c>
      <c r="J714" s="48" t="s">
        <v>305</v>
      </c>
      <c r="K714" s="41">
        <f t="shared" si="58"/>
        <v>1964</v>
      </c>
    </row>
    <row r="715" spans="4:11" s="41" customFormat="1">
      <c r="D715" s="51" t="s">
        <v>880</v>
      </c>
      <c r="E715" s="44"/>
      <c r="F715" s="44"/>
      <c r="G715" s="41">
        <f t="shared" si="57"/>
        <v>1965</v>
      </c>
      <c r="H715" s="45">
        <f t="shared" si="59"/>
        <v>2</v>
      </c>
      <c r="I715" s="47" t="s">
        <v>351</v>
      </c>
      <c r="J715" s="48" t="s">
        <v>305</v>
      </c>
      <c r="K715" s="41">
        <f t="shared" si="58"/>
        <v>1966</v>
      </c>
    </row>
    <row r="716" spans="4:11" s="41" customFormat="1">
      <c r="D716" s="51" t="s">
        <v>879</v>
      </c>
      <c r="E716" s="44"/>
      <c r="F716" s="44"/>
      <c r="G716" s="41">
        <f t="shared" si="57"/>
        <v>1967</v>
      </c>
      <c r="H716" s="45">
        <f t="shared" si="59"/>
        <v>2</v>
      </c>
      <c r="I716" s="47" t="s">
        <v>351</v>
      </c>
      <c r="J716" s="48" t="s">
        <v>305</v>
      </c>
      <c r="K716" s="41">
        <f t="shared" si="58"/>
        <v>1968</v>
      </c>
    </row>
    <row r="717" spans="4:11" s="41" customFormat="1">
      <c r="D717" s="51" t="s">
        <v>878</v>
      </c>
      <c r="E717" s="44"/>
      <c r="F717" s="44"/>
      <c r="G717" s="41">
        <f t="shared" si="57"/>
        <v>1969</v>
      </c>
      <c r="H717" s="45">
        <f t="shared" si="59"/>
        <v>2</v>
      </c>
      <c r="I717" s="47" t="s">
        <v>351</v>
      </c>
      <c r="J717" s="48" t="s">
        <v>305</v>
      </c>
      <c r="K717" s="41">
        <f t="shared" si="58"/>
        <v>1970</v>
      </c>
    </row>
    <row r="718" spans="4:11" s="41" customFormat="1">
      <c r="D718" s="51" t="s">
        <v>877</v>
      </c>
      <c r="E718" s="44"/>
      <c r="F718" s="44"/>
      <c r="G718" s="41">
        <f t="shared" si="57"/>
        <v>1971</v>
      </c>
      <c r="H718" s="45">
        <f t="shared" si="59"/>
        <v>2</v>
      </c>
      <c r="I718" s="47" t="s">
        <v>351</v>
      </c>
      <c r="J718" s="48" t="s">
        <v>305</v>
      </c>
      <c r="K718" s="41">
        <f t="shared" si="58"/>
        <v>1972</v>
      </c>
    </row>
    <row r="719" spans="4:11" s="41" customFormat="1">
      <c r="D719" s="51" t="s">
        <v>876</v>
      </c>
      <c r="E719" s="44"/>
      <c r="F719" s="44"/>
      <c r="G719" s="41">
        <f t="shared" si="57"/>
        <v>1973</v>
      </c>
      <c r="H719" s="45">
        <f t="shared" si="59"/>
        <v>2</v>
      </c>
      <c r="I719" s="47" t="s">
        <v>351</v>
      </c>
      <c r="J719" s="48" t="s">
        <v>305</v>
      </c>
      <c r="K719" s="41">
        <f t="shared" si="58"/>
        <v>1974</v>
      </c>
    </row>
    <row r="720" spans="4:11" s="41" customFormat="1">
      <c r="D720" s="51" t="s">
        <v>875</v>
      </c>
      <c r="E720" s="44"/>
      <c r="F720" s="44"/>
      <c r="G720" s="41">
        <f t="shared" si="57"/>
        <v>1975</v>
      </c>
      <c r="H720" s="45">
        <f t="shared" si="59"/>
        <v>2</v>
      </c>
      <c r="I720" s="47" t="s">
        <v>351</v>
      </c>
      <c r="J720" s="48" t="s">
        <v>305</v>
      </c>
      <c r="K720" s="41">
        <f t="shared" si="58"/>
        <v>1976</v>
      </c>
    </row>
    <row r="721" spans="4:11" s="41" customFormat="1">
      <c r="D721" s="51" t="s">
        <v>874</v>
      </c>
      <c r="E721" s="44"/>
      <c r="F721" s="44"/>
      <c r="G721" s="41">
        <f t="shared" si="57"/>
        <v>1977</v>
      </c>
      <c r="H721" s="45">
        <f t="shared" si="59"/>
        <v>2</v>
      </c>
      <c r="I721" s="47" t="s">
        <v>351</v>
      </c>
      <c r="J721" s="48" t="s">
        <v>305</v>
      </c>
      <c r="K721" s="41">
        <f t="shared" si="58"/>
        <v>1978</v>
      </c>
    </row>
    <row r="722" spans="4:11" s="41" customFormat="1">
      <c r="D722" s="51" t="s">
        <v>873</v>
      </c>
      <c r="E722" s="44"/>
      <c r="F722" s="44"/>
      <c r="G722" s="41">
        <f t="shared" si="57"/>
        <v>1979</v>
      </c>
      <c r="H722" s="45">
        <f t="shared" si="59"/>
        <v>2</v>
      </c>
      <c r="I722" s="47" t="s">
        <v>351</v>
      </c>
      <c r="J722" s="48" t="s">
        <v>305</v>
      </c>
      <c r="K722" s="41">
        <f t="shared" si="58"/>
        <v>1980</v>
      </c>
    </row>
    <row r="723" spans="4:11" s="41" customFormat="1">
      <c r="D723" s="51" t="s">
        <v>872</v>
      </c>
      <c r="E723" s="44"/>
      <c r="F723" s="44"/>
      <c r="G723" s="41">
        <v>2001</v>
      </c>
      <c r="H723" s="45">
        <f t="shared" si="59"/>
        <v>2</v>
      </c>
      <c r="I723" s="47" t="s">
        <v>351</v>
      </c>
      <c r="J723" s="48" t="s">
        <v>10</v>
      </c>
      <c r="K723" s="41">
        <v>2002</v>
      </c>
    </row>
    <row r="724" spans="4:11" s="41" customFormat="1">
      <c r="D724" s="51" t="s">
        <v>871</v>
      </c>
      <c r="E724" s="44"/>
      <c r="F724" s="44"/>
      <c r="G724" s="41">
        <f t="shared" ref="G724:G762" si="60">G723+2</f>
        <v>2003</v>
      </c>
      <c r="H724" s="45">
        <f t="shared" si="59"/>
        <v>2</v>
      </c>
      <c r="I724" s="47" t="s">
        <v>351</v>
      </c>
      <c r="J724" s="48" t="s">
        <v>305</v>
      </c>
      <c r="K724" s="41">
        <f t="shared" ref="K724:K762" si="61">K723+2</f>
        <v>2004</v>
      </c>
    </row>
    <row r="725" spans="4:11" s="41" customFormat="1">
      <c r="D725" s="51" t="s">
        <v>870</v>
      </c>
      <c r="E725" s="44"/>
      <c r="F725" s="44"/>
      <c r="G725" s="41">
        <f t="shared" si="60"/>
        <v>2005</v>
      </c>
      <c r="H725" s="45">
        <f t="shared" si="59"/>
        <v>2</v>
      </c>
      <c r="I725" s="47" t="s">
        <v>351</v>
      </c>
      <c r="J725" s="48" t="s">
        <v>305</v>
      </c>
      <c r="K725" s="41">
        <f t="shared" si="61"/>
        <v>2006</v>
      </c>
    </row>
    <row r="726" spans="4:11" s="41" customFormat="1">
      <c r="D726" s="51" t="s">
        <v>869</v>
      </c>
      <c r="E726" s="44"/>
      <c r="F726" s="44"/>
      <c r="G726" s="41">
        <f t="shared" si="60"/>
        <v>2007</v>
      </c>
      <c r="H726" s="45">
        <f t="shared" si="59"/>
        <v>2</v>
      </c>
      <c r="I726" s="47" t="s">
        <v>351</v>
      </c>
      <c r="J726" s="48" t="s">
        <v>305</v>
      </c>
      <c r="K726" s="41">
        <f t="shared" si="61"/>
        <v>2008</v>
      </c>
    </row>
    <row r="727" spans="4:11" s="41" customFormat="1">
      <c r="D727" s="51" t="s">
        <v>868</v>
      </c>
      <c r="E727" s="44"/>
      <c r="F727" s="44"/>
      <c r="G727" s="41">
        <f t="shared" si="60"/>
        <v>2009</v>
      </c>
      <c r="H727" s="45">
        <f t="shared" si="59"/>
        <v>2</v>
      </c>
      <c r="I727" s="47" t="s">
        <v>351</v>
      </c>
      <c r="J727" s="48" t="s">
        <v>305</v>
      </c>
      <c r="K727" s="41">
        <f t="shared" si="61"/>
        <v>2010</v>
      </c>
    </row>
    <row r="728" spans="4:11" s="41" customFormat="1">
      <c r="D728" s="51" t="s">
        <v>867</v>
      </c>
      <c r="E728" s="44"/>
      <c r="F728" s="44"/>
      <c r="G728" s="41">
        <f t="shared" si="60"/>
        <v>2011</v>
      </c>
      <c r="H728" s="45">
        <f t="shared" si="59"/>
        <v>2</v>
      </c>
      <c r="I728" s="47" t="s">
        <v>351</v>
      </c>
      <c r="J728" s="48" t="s">
        <v>305</v>
      </c>
      <c r="K728" s="41">
        <f t="shared" si="61"/>
        <v>2012</v>
      </c>
    </row>
    <row r="729" spans="4:11" s="41" customFormat="1">
      <c r="D729" s="51" t="s">
        <v>866</v>
      </c>
      <c r="E729" s="44"/>
      <c r="F729" s="44"/>
      <c r="G729" s="41">
        <f t="shared" si="60"/>
        <v>2013</v>
      </c>
      <c r="H729" s="45">
        <f t="shared" si="59"/>
        <v>2</v>
      </c>
      <c r="I729" s="47" t="s">
        <v>351</v>
      </c>
      <c r="J729" s="48" t="s">
        <v>305</v>
      </c>
      <c r="K729" s="41">
        <f t="shared" si="61"/>
        <v>2014</v>
      </c>
    </row>
    <row r="730" spans="4:11" s="41" customFormat="1">
      <c r="D730" s="51" t="s">
        <v>865</v>
      </c>
      <c r="E730" s="44"/>
      <c r="F730" s="44"/>
      <c r="G730" s="41">
        <f t="shared" si="60"/>
        <v>2015</v>
      </c>
      <c r="H730" s="45">
        <f t="shared" si="59"/>
        <v>2</v>
      </c>
      <c r="I730" s="47" t="s">
        <v>351</v>
      </c>
      <c r="J730" s="48" t="s">
        <v>305</v>
      </c>
      <c r="K730" s="41">
        <f t="shared" si="61"/>
        <v>2016</v>
      </c>
    </row>
    <row r="731" spans="4:11" s="41" customFormat="1">
      <c r="D731" s="51" t="s">
        <v>864</v>
      </c>
      <c r="E731" s="44"/>
      <c r="F731" s="44"/>
      <c r="G731" s="41">
        <f t="shared" si="60"/>
        <v>2017</v>
      </c>
      <c r="H731" s="45">
        <f t="shared" si="59"/>
        <v>2</v>
      </c>
      <c r="I731" s="47" t="s">
        <v>351</v>
      </c>
      <c r="J731" s="48" t="s">
        <v>305</v>
      </c>
      <c r="K731" s="41">
        <f t="shared" si="61"/>
        <v>2018</v>
      </c>
    </row>
    <row r="732" spans="4:11" s="41" customFormat="1">
      <c r="D732" s="51" t="s">
        <v>863</v>
      </c>
      <c r="E732" s="44"/>
      <c r="F732" s="44"/>
      <c r="G732" s="41">
        <f t="shared" si="60"/>
        <v>2019</v>
      </c>
      <c r="H732" s="45">
        <f t="shared" si="59"/>
        <v>2</v>
      </c>
      <c r="I732" s="47" t="s">
        <v>351</v>
      </c>
      <c r="J732" s="48" t="s">
        <v>305</v>
      </c>
      <c r="K732" s="41">
        <f t="shared" si="61"/>
        <v>2020</v>
      </c>
    </row>
    <row r="733" spans="4:11" s="41" customFormat="1">
      <c r="D733" s="51" t="s">
        <v>862</v>
      </c>
      <c r="E733" s="44"/>
      <c r="F733" s="44"/>
      <c r="G733" s="41">
        <f t="shared" si="60"/>
        <v>2021</v>
      </c>
      <c r="H733" s="45">
        <f t="shared" si="59"/>
        <v>2</v>
      </c>
      <c r="I733" s="47" t="s">
        <v>351</v>
      </c>
      <c r="J733" s="48" t="s">
        <v>305</v>
      </c>
      <c r="K733" s="41">
        <f t="shared" si="61"/>
        <v>2022</v>
      </c>
    </row>
    <row r="734" spans="4:11" s="41" customFormat="1">
      <c r="D734" s="51" t="s">
        <v>861</v>
      </c>
      <c r="E734" s="44"/>
      <c r="F734" s="44"/>
      <c r="G734" s="41">
        <f t="shared" si="60"/>
        <v>2023</v>
      </c>
      <c r="H734" s="45">
        <f t="shared" si="59"/>
        <v>2</v>
      </c>
      <c r="I734" s="47" t="s">
        <v>351</v>
      </c>
      <c r="J734" s="48" t="s">
        <v>305</v>
      </c>
      <c r="K734" s="41">
        <f t="shared" si="61"/>
        <v>2024</v>
      </c>
    </row>
    <row r="735" spans="4:11" s="41" customFormat="1">
      <c r="D735" s="51" t="s">
        <v>860</v>
      </c>
      <c r="E735" s="44"/>
      <c r="F735" s="44"/>
      <c r="G735" s="41">
        <f t="shared" si="60"/>
        <v>2025</v>
      </c>
      <c r="H735" s="45">
        <f t="shared" si="59"/>
        <v>2</v>
      </c>
      <c r="I735" s="47" t="s">
        <v>351</v>
      </c>
      <c r="J735" s="48" t="s">
        <v>305</v>
      </c>
      <c r="K735" s="41">
        <f t="shared" si="61"/>
        <v>2026</v>
      </c>
    </row>
    <row r="736" spans="4:11" s="41" customFormat="1">
      <c r="D736" s="51" t="s">
        <v>859</v>
      </c>
      <c r="E736" s="44"/>
      <c r="F736" s="44"/>
      <c r="G736" s="41">
        <f t="shared" si="60"/>
        <v>2027</v>
      </c>
      <c r="H736" s="45">
        <f t="shared" si="59"/>
        <v>2</v>
      </c>
      <c r="I736" s="47" t="s">
        <v>351</v>
      </c>
      <c r="J736" s="48" t="s">
        <v>305</v>
      </c>
      <c r="K736" s="41">
        <f t="shared" si="61"/>
        <v>2028</v>
      </c>
    </row>
    <row r="737" spans="4:11" s="41" customFormat="1">
      <c r="D737" s="51" t="s">
        <v>858</v>
      </c>
      <c r="E737" s="44"/>
      <c r="F737" s="44"/>
      <c r="G737" s="41">
        <f t="shared" si="60"/>
        <v>2029</v>
      </c>
      <c r="H737" s="45">
        <f t="shared" si="59"/>
        <v>2</v>
      </c>
      <c r="I737" s="47" t="s">
        <v>351</v>
      </c>
      <c r="J737" s="48" t="s">
        <v>305</v>
      </c>
      <c r="K737" s="41">
        <f t="shared" si="61"/>
        <v>2030</v>
      </c>
    </row>
    <row r="738" spans="4:11" s="41" customFormat="1">
      <c r="D738" s="51" t="s">
        <v>857</v>
      </c>
      <c r="E738" s="44"/>
      <c r="F738" s="44"/>
      <c r="G738" s="41">
        <f t="shared" si="60"/>
        <v>2031</v>
      </c>
      <c r="H738" s="45">
        <f t="shared" si="59"/>
        <v>2</v>
      </c>
      <c r="I738" s="47" t="s">
        <v>351</v>
      </c>
      <c r="J738" s="48" t="s">
        <v>305</v>
      </c>
      <c r="K738" s="41">
        <f t="shared" si="61"/>
        <v>2032</v>
      </c>
    </row>
    <row r="739" spans="4:11" s="41" customFormat="1">
      <c r="D739" s="51" t="s">
        <v>856</v>
      </c>
      <c r="E739" s="44"/>
      <c r="F739" s="44"/>
      <c r="G739" s="41">
        <f t="shared" si="60"/>
        <v>2033</v>
      </c>
      <c r="H739" s="45">
        <f t="shared" ref="H739:H762" si="62">K739-G739+1</f>
        <v>2</v>
      </c>
      <c r="I739" s="47" t="s">
        <v>351</v>
      </c>
      <c r="J739" s="48" t="s">
        <v>305</v>
      </c>
      <c r="K739" s="41">
        <f t="shared" si="61"/>
        <v>2034</v>
      </c>
    </row>
    <row r="740" spans="4:11" s="41" customFormat="1">
      <c r="D740" s="51" t="s">
        <v>855</v>
      </c>
      <c r="E740" s="44"/>
      <c r="F740" s="44"/>
      <c r="G740" s="41">
        <f t="shared" si="60"/>
        <v>2035</v>
      </c>
      <c r="H740" s="45">
        <f t="shared" si="62"/>
        <v>2</v>
      </c>
      <c r="I740" s="47" t="s">
        <v>351</v>
      </c>
      <c r="J740" s="48" t="s">
        <v>305</v>
      </c>
      <c r="K740" s="41">
        <f t="shared" si="61"/>
        <v>2036</v>
      </c>
    </row>
    <row r="741" spans="4:11" s="41" customFormat="1">
      <c r="D741" s="51" t="s">
        <v>854</v>
      </c>
      <c r="E741" s="44"/>
      <c r="F741" s="44"/>
      <c r="G741" s="41">
        <f t="shared" si="60"/>
        <v>2037</v>
      </c>
      <c r="H741" s="45">
        <f t="shared" si="62"/>
        <v>2</v>
      </c>
      <c r="I741" s="47" t="s">
        <v>351</v>
      </c>
      <c r="J741" s="48" t="s">
        <v>305</v>
      </c>
      <c r="K741" s="41">
        <f t="shared" si="61"/>
        <v>2038</v>
      </c>
    </row>
    <row r="742" spans="4:11" s="41" customFormat="1">
      <c r="D742" s="51" t="s">
        <v>853</v>
      </c>
      <c r="E742" s="44"/>
      <c r="F742" s="44"/>
      <c r="G742" s="41">
        <f t="shared" si="60"/>
        <v>2039</v>
      </c>
      <c r="H742" s="45">
        <f t="shared" si="62"/>
        <v>2</v>
      </c>
      <c r="I742" s="47" t="s">
        <v>351</v>
      </c>
      <c r="J742" s="48" t="s">
        <v>305</v>
      </c>
      <c r="K742" s="41">
        <f t="shared" si="61"/>
        <v>2040</v>
      </c>
    </row>
    <row r="743" spans="4:11" s="41" customFormat="1">
      <c r="D743" s="51" t="s">
        <v>852</v>
      </c>
      <c r="E743" s="44"/>
      <c r="F743" s="44"/>
      <c r="G743" s="41">
        <f t="shared" si="60"/>
        <v>2041</v>
      </c>
      <c r="H743" s="45">
        <f t="shared" si="62"/>
        <v>2</v>
      </c>
      <c r="I743" s="47" t="s">
        <v>351</v>
      </c>
      <c r="J743" s="48" t="s">
        <v>305</v>
      </c>
      <c r="K743" s="41">
        <f t="shared" si="61"/>
        <v>2042</v>
      </c>
    </row>
    <row r="744" spans="4:11" s="41" customFormat="1">
      <c r="D744" s="51" t="s">
        <v>851</v>
      </c>
      <c r="E744" s="44"/>
      <c r="F744" s="44"/>
      <c r="G744" s="41">
        <f t="shared" si="60"/>
        <v>2043</v>
      </c>
      <c r="H744" s="45">
        <f t="shared" si="62"/>
        <v>2</v>
      </c>
      <c r="I744" s="47" t="s">
        <v>351</v>
      </c>
      <c r="J744" s="48" t="s">
        <v>305</v>
      </c>
      <c r="K744" s="41">
        <f t="shared" si="61"/>
        <v>2044</v>
      </c>
    </row>
    <row r="745" spans="4:11" s="41" customFormat="1">
      <c r="D745" s="51" t="s">
        <v>850</v>
      </c>
      <c r="E745" s="44"/>
      <c r="F745" s="44"/>
      <c r="G745" s="41">
        <f t="shared" si="60"/>
        <v>2045</v>
      </c>
      <c r="H745" s="45">
        <f t="shared" si="62"/>
        <v>2</v>
      </c>
      <c r="I745" s="47" t="s">
        <v>351</v>
      </c>
      <c r="J745" s="48" t="s">
        <v>305</v>
      </c>
      <c r="K745" s="41">
        <f t="shared" si="61"/>
        <v>2046</v>
      </c>
    </row>
    <row r="746" spans="4:11" s="41" customFormat="1">
      <c r="D746" s="51" t="s">
        <v>849</v>
      </c>
      <c r="E746" s="44"/>
      <c r="F746" s="44"/>
      <c r="G746" s="41">
        <f t="shared" si="60"/>
        <v>2047</v>
      </c>
      <c r="H746" s="45">
        <f t="shared" si="62"/>
        <v>2</v>
      </c>
      <c r="I746" s="47" t="s">
        <v>351</v>
      </c>
      <c r="J746" s="48" t="s">
        <v>305</v>
      </c>
      <c r="K746" s="41">
        <f t="shared" si="61"/>
        <v>2048</v>
      </c>
    </row>
    <row r="747" spans="4:11" s="41" customFormat="1">
      <c r="D747" s="51" t="s">
        <v>848</v>
      </c>
      <c r="E747" s="44"/>
      <c r="F747" s="44"/>
      <c r="G747" s="41">
        <f t="shared" si="60"/>
        <v>2049</v>
      </c>
      <c r="H747" s="45">
        <f t="shared" si="62"/>
        <v>2</v>
      </c>
      <c r="I747" s="47" t="s">
        <v>351</v>
      </c>
      <c r="J747" s="48" t="s">
        <v>305</v>
      </c>
      <c r="K747" s="41">
        <f t="shared" si="61"/>
        <v>2050</v>
      </c>
    </row>
    <row r="748" spans="4:11" s="41" customFormat="1">
      <c r="D748" s="51" t="s">
        <v>847</v>
      </c>
      <c r="E748" s="44"/>
      <c r="F748" s="44"/>
      <c r="G748" s="41">
        <f t="shared" si="60"/>
        <v>2051</v>
      </c>
      <c r="H748" s="45">
        <f t="shared" si="62"/>
        <v>2</v>
      </c>
      <c r="I748" s="47" t="s">
        <v>351</v>
      </c>
      <c r="J748" s="48" t="s">
        <v>305</v>
      </c>
      <c r="K748" s="41">
        <f t="shared" si="61"/>
        <v>2052</v>
      </c>
    </row>
    <row r="749" spans="4:11" s="41" customFormat="1">
      <c r="D749" s="51" t="s">
        <v>846</v>
      </c>
      <c r="E749" s="44"/>
      <c r="F749" s="44"/>
      <c r="G749" s="41">
        <f t="shared" si="60"/>
        <v>2053</v>
      </c>
      <c r="H749" s="45">
        <f t="shared" si="62"/>
        <v>2</v>
      </c>
      <c r="I749" s="47" t="s">
        <v>351</v>
      </c>
      <c r="J749" s="48" t="s">
        <v>305</v>
      </c>
      <c r="K749" s="41">
        <f t="shared" si="61"/>
        <v>2054</v>
      </c>
    </row>
    <row r="750" spans="4:11" s="41" customFormat="1">
      <c r="D750" s="51" t="s">
        <v>845</v>
      </c>
      <c r="E750" s="44"/>
      <c r="F750" s="44"/>
      <c r="G750" s="41">
        <f t="shared" si="60"/>
        <v>2055</v>
      </c>
      <c r="H750" s="45">
        <f t="shared" si="62"/>
        <v>2</v>
      </c>
      <c r="I750" s="47" t="s">
        <v>351</v>
      </c>
      <c r="J750" s="48" t="s">
        <v>305</v>
      </c>
      <c r="K750" s="41">
        <f t="shared" si="61"/>
        <v>2056</v>
      </c>
    </row>
    <row r="751" spans="4:11" s="41" customFormat="1">
      <c r="D751" s="51" t="s">
        <v>844</v>
      </c>
      <c r="E751" s="44"/>
      <c r="F751" s="44"/>
      <c r="G751" s="41">
        <f t="shared" si="60"/>
        <v>2057</v>
      </c>
      <c r="H751" s="45">
        <f t="shared" si="62"/>
        <v>2</v>
      </c>
      <c r="I751" s="47" t="s">
        <v>351</v>
      </c>
      <c r="J751" s="48" t="s">
        <v>305</v>
      </c>
      <c r="K751" s="41">
        <f t="shared" si="61"/>
        <v>2058</v>
      </c>
    </row>
    <row r="752" spans="4:11" s="41" customFormat="1">
      <c r="D752" s="51" t="s">
        <v>843</v>
      </c>
      <c r="E752" s="44"/>
      <c r="F752" s="44"/>
      <c r="G752" s="41">
        <f t="shared" si="60"/>
        <v>2059</v>
      </c>
      <c r="H752" s="45">
        <f t="shared" si="62"/>
        <v>2</v>
      </c>
      <c r="I752" s="47" t="s">
        <v>351</v>
      </c>
      <c r="J752" s="48" t="s">
        <v>305</v>
      </c>
      <c r="K752" s="41">
        <f t="shared" si="61"/>
        <v>2060</v>
      </c>
    </row>
    <row r="753" spans="1:12" s="41" customFormat="1">
      <c r="D753" s="51" t="s">
        <v>842</v>
      </c>
      <c r="E753" s="44"/>
      <c r="F753" s="44"/>
      <c r="G753" s="41">
        <f t="shared" si="60"/>
        <v>2061</v>
      </c>
      <c r="H753" s="45">
        <f t="shared" si="62"/>
        <v>2</v>
      </c>
      <c r="I753" s="47" t="s">
        <v>351</v>
      </c>
      <c r="J753" s="48" t="s">
        <v>305</v>
      </c>
      <c r="K753" s="41">
        <f t="shared" si="61"/>
        <v>2062</v>
      </c>
    </row>
    <row r="754" spans="1:12" s="41" customFormat="1">
      <c r="D754" s="51" t="s">
        <v>841</v>
      </c>
      <c r="E754" s="44"/>
      <c r="F754" s="44"/>
      <c r="G754" s="41">
        <f t="shared" si="60"/>
        <v>2063</v>
      </c>
      <c r="H754" s="45">
        <f t="shared" si="62"/>
        <v>2</v>
      </c>
      <c r="I754" s="47" t="s">
        <v>351</v>
      </c>
      <c r="J754" s="48" t="s">
        <v>305</v>
      </c>
      <c r="K754" s="41">
        <f t="shared" si="61"/>
        <v>2064</v>
      </c>
    </row>
    <row r="755" spans="1:12" s="41" customFormat="1">
      <c r="D755" s="51" t="s">
        <v>840</v>
      </c>
      <c r="E755" s="44"/>
      <c r="F755" s="44"/>
      <c r="G755" s="41">
        <f t="shared" si="60"/>
        <v>2065</v>
      </c>
      <c r="H755" s="45">
        <f t="shared" si="62"/>
        <v>2</v>
      </c>
      <c r="I755" s="47" t="s">
        <v>351</v>
      </c>
      <c r="J755" s="48" t="s">
        <v>305</v>
      </c>
      <c r="K755" s="41">
        <f t="shared" si="61"/>
        <v>2066</v>
      </c>
    </row>
    <row r="756" spans="1:12" s="41" customFormat="1">
      <c r="D756" s="51" t="s">
        <v>839</v>
      </c>
      <c r="E756" s="44"/>
      <c r="F756" s="44"/>
      <c r="G756" s="41">
        <f t="shared" si="60"/>
        <v>2067</v>
      </c>
      <c r="H756" s="45">
        <f t="shared" si="62"/>
        <v>2</v>
      </c>
      <c r="I756" s="47" t="s">
        <v>351</v>
      </c>
      <c r="J756" s="48" t="s">
        <v>305</v>
      </c>
      <c r="K756" s="41">
        <f t="shared" si="61"/>
        <v>2068</v>
      </c>
    </row>
    <row r="757" spans="1:12" s="41" customFormat="1">
      <c r="D757" s="51" t="s">
        <v>838</v>
      </c>
      <c r="E757" s="44"/>
      <c r="F757" s="44"/>
      <c r="G757" s="41">
        <f t="shared" si="60"/>
        <v>2069</v>
      </c>
      <c r="H757" s="45">
        <f t="shared" si="62"/>
        <v>2</v>
      </c>
      <c r="I757" s="47" t="s">
        <v>351</v>
      </c>
      <c r="J757" s="48" t="s">
        <v>305</v>
      </c>
      <c r="K757" s="41">
        <f t="shared" si="61"/>
        <v>2070</v>
      </c>
    </row>
    <row r="758" spans="1:12" s="41" customFormat="1">
      <c r="D758" s="51" t="s">
        <v>837</v>
      </c>
      <c r="E758" s="44"/>
      <c r="F758" s="44"/>
      <c r="G758" s="41">
        <f t="shared" si="60"/>
        <v>2071</v>
      </c>
      <c r="H758" s="45">
        <f t="shared" si="62"/>
        <v>2</v>
      </c>
      <c r="I758" s="47" t="s">
        <v>351</v>
      </c>
      <c r="J758" s="48" t="s">
        <v>305</v>
      </c>
      <c r="K758" s="41">
        <f t="shared" si="61"/>
        <v>2072</v>
      </c>
    </row>
    <row r="759" spans="1:12" s="41" customFormat="1">
      <c r="D759" s="51" t="s">
        <v>836</v>
      </c>
      <c r="E759" s="44"/>
      <c r="F759" s="44"/>
      <c r="G759" s="41">
        <f t="shared" si="60"/>
        <v>2073</v>
      </c>
      <c r="H759" s="45">
        <f t="shared" si="62"/>
        <v>2</v>
      </c>
      <c r="I759" s="47" t="s">
        <v>351</v>
      </c>
      <c r="J759" s="48" t="s">
        <v>305</v>
      </c>
      <c r="K759" s="41">
        <f t="shared" si="61"/>
        <v>2074</v>
      </c>
    </row>
    <row r="760" spans="1:12" s="41" customFormat="1">
      <c r="D760" s="51" t="s">
        <v>835</v>
      </c>
      <c r="E760" s="44"/>
      <c r="F760" s="44"/>
      <c r="G760" s="41">
        <f t="shared" si="60"/>
        <v>2075</v>
      </c>
      <c r="H760" s="45">
        <f t="shared" si="62"/>
        <v>2</v>
      </c>
      <c r="I760" s="47" t="s">
        <v>351</v>
      </c>
      <c r="J760" s="48" t="s">
        <v>305</v>
      </c>
      <c r="K760" s="41">
        <f t="shared" si="61"/>
        <v>2076</v>
      </c>
    </row>
    <row r="761" spans="1:12" s="41" customFormat="1">
      <c r="D761" s="51" t="s">
        <v>834</v>
      </c>
      <c r="E761" s="44"/>
      <c r="F761" s="44"/>
      <c r="G761" s="41">
        <f t="shared" si="60"/>
        <v>2077</v>
      </c>
      <c r="H761" s="45">
        <f t="shared" si="62"/>
        <v>2</v>
      </c>
      <c r="I761" s="47" t="s">
        <v>351</v>
      </c>
      <c r="J761" s="48" t="s">
        <v>305</v>
      </c>
      <c r="K761" s="41">
        <f t="shared" si="61"/>
        <v>2078</v>
      </c>
    </row>
    <row r="762" spans="1:12" s="41" customFormat="1">
      <c r="D762" s="51" t="s">
        <v>833</v>
      </c>
      <c r="E762" s="44"/>
      <c r="F762" s="44"/>
      <c r="G762" s="41">
        <f t="shared" si="60"/>
        <v>2079</v>
      </c>
      <c r="H762" s="45">
        <f t="shared" si="62"/>
        <v>2</v>
      </c>
      <c r="I762" s="47" t="s">
        <v>351</v>
      </c>
      <c r="J762" s="48" t="s">
        <v>305</v>
      </c>
      <c r="K762" s="41">
        <f t="shared" si="61"/>
        <v>2080</v>
      </c>
    </row>
    <row r="763" spans="1:12" s="41" customFormat="1">
      <c r="B763" s="41" t="s">
        <v>1319</v>
      </c>
      <c r="D763" s="51"/>
      <c r="E763" s="44"/>
      <c r="F763" s="44"/>
      <c r="H763" s="44"/>
      <c r="I763" s="44"/>
      <c r="J763" s="44"/>
    </row>
    <row r="764" spans="1:12" s="43" customFormat="1">
      <c r="A764" s="42"/>
      <c r="B764" s="42" t="s">
        <v>1320</v>
      </c>
      <c r="C764" s="42" t="s">
        <v>832</v>
      </c>
      <c r="D764" s="54"/>
      <c r="E764" s="46"/>
      <c r="F764" s="46"/>
      <c r="G764" s="42"/>
      <c r="H764" s="45"/>
      <c r="I764" s="46"/>
      <c r="J764" s="49"/>
      <c r="K764" s="42"/>
      <c r="L764" s="42"/>
    </row>
    <row r="765" spans="1:12" s="41" customFormat="1">
      <c r="D765" s="51" t="s">
        <v>831</v>
      </c>
      <c r="E765" s="44"/>
      <c r="F765" s="44"/>
      <c r="G765" s="41">
        <v>2201</v>
      </c>
      <c r="H765" s="45">
        <f t="shared" ref="H765:H796" si="63">K765-G765+1</f>
        <v>2</v>
      </c>
      <c r="I765" s="47" t="s">
        <v>351</v>
      </c>
      <c r="J765" s="48" t="s">
        <v>10</v>
      </c>
      <c r="K765" s="41">
        <v>2202</v>
      </c>
    </row>
    <row r="766" spans="1:12" s="41" customFormat="1">
      <c r="D766" s="51" t="s">
        <v>830</v>
      </c>
      <c r="E766" s="44"/>
      <c r="F766" s="44"/>
      <c r="G766" s="41">
        <f t="shared" ref="G766:G804" si="64">G765+2</f>
        <v>2203</v>
      </c>
      <c r="H766" s="45">
        <f t="shared" si="63"/>
        <v>2</v>
      </c>
      <c r="I766" s="47" t="s">
        <v>351</v>
      </c>
      <c r="J766" s="48" t="s">
        <v>305</v>
      </c>
      <c r="K766" s="41">
        <f t="shared" ref="K766:K804" si="65">K765+2</f>
        <v>2204</v>
      </c>
    </row>
    <row r="767" spans="1:12" s="41" customFormat="1">
      <c r="D767" s="51" t="s">
        <v>829</v>
      </c>
      <c r="E767" s="44"/>
      <c r="F767" s="44"/>
      <c r="G767" s="41">
        <f t="shared" si="64"/>
        <v>2205</v>
      </c>
      <c r="H767" s="45">
        <f t="shared" si="63"/>
        <v>2</v>
      </c>
      <c r="I767" s="47" t="s">
        <v>351</v>
      </c>
      <c r="J767" s="48" t="s">
        <v>305</v>
      </c>
      <c r="K767" s="41">
        <f t="shared" si="65"/>
        <v>2206</v>
      </c>
    </row>
    <row r="768" spans="1:12" s="41" customFormat="1">
      <c r="D768" s="51" t="s">
        <v>828</v>
      </c>
      <c r="E768" s="44"/>
      <c r="F768" s="44"/>
      <c r="G768" s="41">
        <f t="shared" si="64"/>
        <v>2207</v>
      </c>
      <c r="H768" s="45">
        <f t="shared" si="63"/>
        <v>2</v>
      </c>
      <c r="I768" s="47" t="s">
        <v>351</v>
      </c>
      <c r="J768" s="48" t="s">
        <v>305</v>
      </c>
      <c r="K768" s="41">
        <f t="shared" si="65"/>
        <v>2208</v>
      </c>
    </row>
    <row r="769" spans="4:11" s="41" customFormat="1">
      <c r="D769" s="51" t="s">
        <v>827</v>
      </c>
      <c r="E769" s="44"/>
      <c r="F769" s="44"/>
      <c r="G769" s="41">
        <f t="shared" si="64"/>
        <v>2209</v>
      </c>
      <c r="H769" s="45">
        <f t="shared" si="63"/>
        <v>2</v>
      </c>
      <c r="I769" s="47" t="s">
        <v>351</v>
      </c>
      <c r="J769" s="48" t="s">
        <v>305</v>
      </c>
      <c r="K769" s="41">
        <f t="shared" si="65"/>
        <v>2210</v>
      </c>
    </row>
    <row r="770" spans="4:11" s="41" customFormat="1">
      <c r="D770" s="51" t="s">
        <v>826</v>
      </c>
      <c r="E770" s="44"/>
      <c r="F770" s="44"/>
      <c r="G770" s="41">
        <f t="shared" si="64"/>
        <v>2211</v>
      </c>
      <c r="H770" s="45">
        <f t="shared" si="63"/>
        <v>2</v>
      </c>
      <c r="I770" s="47" t="s">
        <v>351</v>
      </c>
      <c r="J770" s="48" t="s">
        <v>305</v>
      </c>
      <c r="K770" s="41">
        <f t="shared" si="65"/>
        <v>2212</v>
      </c>
    </row>
    <row r="771" spans="4:11" s="41" customFormat="1">
      <c r="D771" s="51" t="s">
        <v>825</v>
      </c>
      <c r="E771" s="44"/>
      <c r="F771" s="44"/>
      <c r="G771" s="41">
        <f t="shared" si="64"/>
        <v>2213</v>
      </c>
      <c r="H771" s="45">
        <f t="shared" si="63"/>
        <v>2</v>
      </c>
      <c r="I771" s="47" t="s">
        <v>351</v>
      </c>
      <c r="J771" s="48" t="s">
        <v>305</v>
      </c>
      <c r="K771" s="41">
        <f t="shared" si="65"/>
        <v>2214</v>
      </c>
    </row>
    <row r="772" spans="4:11" s="41" customFormat="1">
      <c r="D772" s="51" t="s">
        <v>824</v>
      </c>
      <c r="E772" s="44"/>
      <c r="F772" s="44"/>
      <c r="G772" s="41">
        <f t="shared" si="64"/>
        <v>2215</v>
      </c>
      <c r="H772" s="45">
        <f t="shared" si="63"/>
        <v>2</v>
      </c>
      <c r="I772" s="47" t="s">
        <v>351</v>
      </c>
      <c r="J772" s="48" t="s">
        <v>305</v>
      </c>
      <c r="K772" s="41">
        <f t="shared" si="65"/>
        <v>2216</v>
      </c>
    </row>
    <row r="773" spans="4:11" s="41" customFormat="1">
      <c r="D773" s="51" t="s">
        <v>823</v>
      </c>
      <c r="E773" s="44"/>
      <c r="F773" s="44"/>
      <c r="G773" s="41">
        <f t="shared" si="64"/>
        <v>2217</v>
      </c>
      <c r="H773" s="45">
        <f t="shared" si="63"/>
        <v>2</v>
      </c>
      <c r="I773" s="47" t="s">
        <v>351</v>
      </c>
      <c r="J773" s="48" t="s">
        <v>305</v>
      </c>
      <c r="K773" s="41">
        <f t="shared" si="65"/>
        <v>2218</v>
      </c>
    </row>
    <row r="774" spans="4:11" s="41" customFormat="1">
      <c r="D774" s="51" t="s">
        <v>822</v>
      </c>
      <c r="E774" s="44"/>
      <c r="F774" s="44"/>
      <c r="G774" s="41">
        <f t="shared" si="64"/>
        <v>2219</v>
      </c>
      <c r="H774" s="45">
        <f t="shared" si="63"/>
        <v>2</v>
      </c>
      <c r="I774" s="47" t="s">
        <v>351</v>
      </c>
      <c r="J774" s="48" t="s">
        <v>305</v>
      </c>
      <c r="K774" s="41">
        <f t="shared" si="65"/>
        <v>2220</v>
      </c>
    </row>
    <row r="775" spans="4:11" s="41" customFormat="1">
      <c r="D775" s="51" t="s">
        <v>821</v>
      </c>
      <c r="E775" s="44"/>
      <c r="F775" s="44"/>
      <c r="G775" s="41">
        <f t="shared" si="64"/>
        <v>2221</v>
      </c>
      <c r="H775" s="45">
        <f t="shared" si="63"/>
        <v>2</v>
      </c>
      <c r="I775" s="47" t="s">
        <v>351</v>
      </c>
      <c r="J775" s="48" t="s">
        <v>305</v>
      </c>
      <c r="K775" s="41">
        <f t="shared" si="65"/>
        <v>2222</v>
      </c>
    </row>
    <row r="776" spans="4:11" s="41" customFormat="1">
      <c r="D776" s="51" t="s">
        <v>820</v>
      </c>
      <c r="E776" s="44"/>
      <c r="F776" s="44"/>
      <c r="G776" s="41">
        <f t="shared" si="64"/>
        <v>2223</v>
      </c>
      <c r="H776" s="45">
        <f t="shared" si="63"/>
        <v>2</v>
      </c>
      <c r="I776" s="47" t="s">
        <v>351</v>
      </c>
      <c r="J776" s="48" t="s">
        <v>305</v>
      </c>
      <c r="K776" s="41">
        <f t="shared" si="65"/>
        <v>2224</v>
      </c>
    </row>
    <row r="777" spans="4:11" s="41" customFormat="1">
      <c r="D777" s="51" t="s">
        <v>819</v>
      </c>
      <c r="E777" s="44"/>
      <c r="F777" s="44"/>
      <c r="G777" s="41">
        <f t="shared" si="64"/>
        <v>2225</v>
      </c>
      <c r="H777" s="45">
        <f t="shared" si="63"/>
        <v>2</v>
      </c>
      <c r="I777" s="47" t="s">
        <v>351</v>
      </c>
      <c r="J777" s="48" t="s">
        <v>305</v>
      </c>
      <c r="K777" s="41">
        <f t="shared" si="65"/>
        <v>2226</v>
      </c>
    </row>
    <row r="778" spans="4:11" s="41" customFormat="1">
      <c r="D778" s="51" t="s">
        <v>818</v>
      </c>
      <c r="E778" s="44"/>
      <c r="F778" s="44"/>
      <c r="G778" s="41">
        <f t="shared" si="64"/>
        <v>2227</v>
      </c>
      <c r="H778" s="45">
        <f t="shared" si="63"/>
        <v>2</v>
      </c>
      <c r="I778" s="47" t="s">
        <v>351</v>
      </c>
      <c r="J778" s="48" t="s">
        <v>305</v>
      </c>
      <c r="K778" s="41">
        <f t="shared" si="65"/>
        <v>2228</v>
      </c>
    </row>
    <row r="779" spans="4:11" s="41" customFormat="1">
      <c r="D779" s="51" t="s">
        <v>817</v>
      </c>
      <c r="E779" s="44"/>
      <c r="F779" s="44"/>
      <c r="G779" s="41">
        <f t="shared" si="64"/>
        <v>2229</v>
      </c>
      <c r="H779" s="45">
        <f t="shared" si="63"/>
        <v>2</v>
      </c>
      <c r="I779" s="47" t="s">
        <v>351</v>
      </c>
      <c r="J779" s="48" t="s">
        <v>305</v>
      </c>
      <c r="K779" s="41">
        <f t="shared" si="65"/>
        <v>2230</v>
      </c>
    </row>
    <row r="780" spans="4:11" s="41" customFormat="1">
      <c r="D780" s="51" t="s">
        <v>816</v>
      </c>
      <c r="E780" s="44"/>
      <c r="F780" s="44"/>
      <c r="G780" s="41">
        <f t="shared" si="64"/>
        <v>2231</v>
      </c>
      <c r="H780" s="45">
        <f t="shared" si="63"/>
        <v>2</v>
      </c>
      <c r="I780" s="47" t="s">
        <v>351</v>
      </c>
      <c r="J780" s="48" t="s">
        <v>305</v>
      </c>
      <c r="K780" s="41">
        <f t="shared" si="65"/>
        <v>2232</v>
      </c>
    </row>
    <row r="781" spans="4:11" s="41" customFormat="1">
      <c r="D781" s="51" t="s">
        <v>815</v>
      </c>
      <c r="E781" s="44"/>
      <c r="F781" s="44"/>
      <c r="G781" s="41">
        <f t="shared" si="64"/>
        <v>2233</v>
      </c>
      <c r="H781" s="45">
        <f t="shared" si="63"/>
        <v>2</v>
      </c>
      <c r="I781" s="47" t="s">
        <v>351</v>
      </c>
      <c r="J781" s="48" t="s">
        <v>305</v>
      </c>
      <c r="K781" s="41">
        <f t="shared" si="65"/>
        <v>2234</v>
      </c>
    </row>
    <row r="782" spans="4:11" s="41" customFormat="1">
      <c r="D782" s="51" t="s">
        <v>814</v>
      </c>
      <c r="E782" s="44"/>
      <c r="F782" s="44"/>
      <c r="G782" s="41">
        <f t="shared" si="64"/>
        <v>2235</v>
      </c>
      <c r="H782" s="45">
        <f t="shared" si="63"/>
        <v>2</v>
      </c>
      <c r="I782" s="47" t="s">
        <v>351</v>
      </c>
      <c r="J782" s="48" t="s">
        <v>305</v>
      </c>
      <c r="K782" s="41">
        <f t="shared" si="65"/>
        <v>2236</v>
      </c>
    </row>
    <row r="783" spans="4:11" s="41" customFormat="1">
      <c r="D783" s="51" t="s">
        <v>813</v>
      </c>
      <c r="E783" s="44"/>
      <c r="F783" s="44"/>
      <c r="G783" s="41">
        <f t="shared" si="64"/>
        <v>2237</v>
      </c>
      <c r="H783" s="45">
        <f t="shared" si="63"/>
        <v>2</v>
      </c>
      <c r="I783" s="47" t="s">
        <v>351</v>
      </c>
      <c r="J783" s="48" t="s">
        <v>305</v>
      </c>
      <c r="K783" s="41">
        <f t="shared" si="65"/>
        <v>2238</v>
      </c>
    </row>
    <row r="784" spans="4:11" s="41" customFormat="1">
      <c r="D784" s="51" t="s">
        <v>812</v>
      </c>
      <c r="E784" s="44"/>
      <c r="F784" s="44"/>
      <c r="G784" s="41">
        <f t="shared" si="64"/>
        <v>2239</v>
      </c>
      <c r="H784" s="45">
        <f t="shared" si="63"/>
        <v>2</v>
      </c>
      <c r="I784" s="47" t="s">
        <v>351</v>
      </c>
      <c r="J784" s="48" t="s">
        <v>305</v>
      </c>
      <c r="K784" s="41">
        <f t="shared" si="65"/>
        <v>2240</v>
      </c>
    </row>
    <row r="785" spans="4:11" s="41" customFormat="1">
      <c r="D785" s="51" t="s">
        <v>811</v>
      </c>
      <c r="E785" s="44"/>
      <c r="F785" s="44"/>
      <c r="G785" s="41">
        <f t="shared" si="64"/>
        <v>2241</v>
      </c>
      <c r="H785" s="45">
        <f t="shared" si="63"/>
        <v>2</v>
      </c>
      <c r="I785" s="47" t="s">
        <v>351</v>
      </c>
      <c r="J785" s="48" t="s">
        <v>305</v>
      </c>
      <c r="K785" s="41">
        <f t="shared" si="65"/>
        <v>2242</v>
      </c>
    </row>
    <row r="786" spans="4:11" s="41" customFormat="1">
      <c r="D786" s="51" t="s">
        <v>810</v>
      </c>
      <c r="E786" s="44"/>
      <c r="F786" s="44"/>
      <c r="G786" s="41">
        <f t="shared" si="64"/>
        <v>2243</v>
      </c>
      <c r="H786" s="45">
        <f t="shared" si="63"/>
        <v>2</v>
      </c>
      <c r="I786" s="47" t="s">
        <v>351</v>
      </c>
      <c r="J786" s="48" t="s">
        <v>305</v>
      </c>
      <c r="K786" s="41">
        <f t="shared" si="65"/>
        <v>2244</v>
      </c>
    </row>
    <row r="787" spans="4:11" s="41" customFormat="1">
      <c r="D787" s="51" t="s">
        <v>809</v>
      </c>
      <c r="E787" s="44"/>
      <c r="F787" s="44"/>
      <c r="G787" s="41">
        <f t="shared" si="64"/>
        <v>2245</v>
      </c>
      <c r="H787" s="45">
        <f t="shared" si="63"/>
        <v>2</v>
      </c>
      <c r="I787" s="47" t="s">
        <v>351</v>
      </c>
      <c r="J787" s="48" t="s">
        <v>305</v>
      </c>
      <c r="K787" s="41">
        <f t="shared" si="65"/>
        <v>2246</v>
      </c>
    </row>
    <row r="788" spans="4:11" s="41" customFormat="1">
      <c r="D788" s="51" t="s">
        <v>808</v>
      </c>
      <c r="E788" s="44"/>
      <c r="F788" s="44"/>
      <c r="G788" s="41">
        <f t="shared" si="64"/>
        <v>2247</v>
      </c>
      <c r="H788" s="45">
        <f t="shared" si="63"/>
        <v>2</v>
      </c>
      <c r="I788" s="47" t="s">
        <v>351</v>
      </c>
      <c r="J788" s="48" t="s">
        <v>305</v>
      </c>
      <c r="K788" s="41">
        <f t="shared" si="65"/>
        <v>2248</v>
      </c>
    </row>
    <row r="789" spans="4:11" s="41" customFormat="1">
      <c r="D789" s="51" t="s">
        <v>807</v>
      </c>
      <c r="E789" s="44"/>
      <c r="F789" s="44"/>
      <c r="G789" s="41">
        <f t="shared" si="64"/>
        <v>2249</v>
      </c>
      <c r="H789" s="45">
        <f t="shared" si="63"/>
        <v>2</v>
      </c>
      <c r="I789" s="47" t="s">
        <v>351</v>
      </c>
      <c r="J789" s="48" t="s">
        <v>305</v>
      </c>
      <c r="K789" s="41">
        <f t="shared" si="65"/>
        <v>2250</v>
      </c>
    </row>
    <row r="790" spans="4:11" s="41" customFormat="1">
      <c r="D790" s="51" t="s">
        <v>806</v>
      </c>
      <c r="E790" s="44"/>
      <c r="F790" s="44"/>
      <c r="G790" s="41">
        <f t="shared" si="64"/>
        <v>2251</v>
      </c>
      <c r="H790" s="45">
        <f t="shared" si="63"/>
        <v>2</v>
      </c>
      <c r="I790" s="47" t="s">
        <v>351</v>
      </c>
      <c r="J790" s="48" t="s">
        <v>305</v>
      </c>
      <c r="K790" s="41">
        <f t="shared" si="65"/>
        <v>2252</v>
      </c>
    </row>
    <row r="791" spans="4:11" s="41" customFormat="1">
      <c r="D791" s="51" t="s">
        <v>805</v>
      </c>
      <c r="E791" s="44"/>
      <c r="F791" s="44"/>
      <c r="G791" s="41">
        <f t="shared" si="64"/>
        <v>2253</v>
      </c>
      <c r="H791" s="45">
        <f t="shared" si="63"/>
        <v>2</v>
      </c>
      <c r="I791" s="47" t="s">
        <v>351</v>
      </c>
      <c r="J791" s="48" t="s">
        <v>305</v>
      </c>
      <c r="K791" s="41">
        <f t="shared" si="65"/>
        <v>2254</v>
      </c>
    </row>
    <row r="792" spans="4:11" s="41" customFormat="1">
      <c r="D792" s="51" t="s">
        <v>804</v>
      </c>
      <c r="E792" s="44"/>
      <c r="F792" s="44"/>
      <c r="G792" s="41">
        <f t="shared" si="64"/>
        <v>2255</v>
      </c>
      <c r="H792" s="45">
        <f t="shared" si="63"/>
        <v>2</v>
      </c>
      <c r="I792" s="47" t="s">
        <v>351</v>
      </c>
      <c r="J792" s="48" t="s">
        <v>305</v>
      </c>
      <c r="K792" s="41">
        <f t="shared" si="65"/>
        <v>2256</v>
      </c>
    </row>
    <row r="793" spans="4:11" s="41" customFormat="1">
      <c r="D793" s="51" t="s">
        <v>803</v>
      </c>
      <c r="E793" s="44"/>
      <c r="F793" s="44"/>
      <c r="G793" s="41">
        <f t="shared" si="64"/>
        <v>2257</v>
      </c>
      <c r="H793" s="45">
        <f t="shared" si="63"/>
        <v>2</v>
      </c>
      <c r="I793" s="47" t="s">
        <v>351</v>
      </c>
      <c r="J793" s="48" t="s">
        <v>305</v>
      </c>
      <c r="K793" s="41">
        <f t="shared" si="65"/>
        <v>2258</v>
      </c>
    </row>
    <row r="794" spans="4:11" s="41" customFormat="1">
      <c r="D794" s="51" t="s">
        <v>802</v>
      </c>
      <c r="E794" s="44"/>
      <c r="F794" s="44"/>
      <c r="G794" s="41">
        <f t="shared" si="64"/>
        <v>2259</v>
      </c>
      <c r="H794" s="45">
        <f t="shared" si="63"/>
        <v>2</v>
      </c>
      <c r="I794" s="47" t="s">
        <v>351</v>
      </c>
      <c r="J794" s="48" t="s">
        <v>305</v>
      </c>
      <c r="K794" s="41">
        <f t="shared" si="65"/>
        <v>2260</v>
      </c>
    </row>
    <row r="795" spans="4:11" s="41" customFormat="1">
      <c r="D795" s="51" t="s">
        <v>801</v>
      </c>
      <c r="E795" s="44"/>
      <c r="F795" s="44"/>
      <c r="G795" s="41">
        <f t="shared" si="64"/>
        <v>2261</v>
      </c>
      <c r="H795" s="45">
        <f t="shared" si="63"/>
        <v>2</v>
      </c>
      <c r="I795" s="47" t="s">
        <v>351</v>
      </c>
      <c r="J795" s="48" t="s">
        <v>305</v>
      </c>
      <c r="K795" s="41">
        <f t="shared" si="65"/>
        <v>2262</v>
      </c>
    </row>
    <row r="796" spans="4:11" s="41" customFormat="1">
      <c r="D796" s="51" t="s">
        <v>800</v>
      </c>
      <c r="E796" s="44"/>
      <c r="F796" s="44"/>
      <c r="G796" s="41">
        <f t="shared" si="64"/>
        <v>2263</v>
      </c>
      <c r="H796" s="45">
        <f t="shared" si="63"/>
        <v>2</v>
      </c>
      <c r="I796" s="47" t="s">
        <v>351</v>
      </c>
      <c r="J796" s="48" t="s">
        <v>305</v>
      </c>
      <c r="K796" s="41">
        <f t="shared" si="65"/>
        <v>2264</v>
      </c>
    </row>
    <row r="797" spans="4:11" s="41" customFormat="1">
      <c r="D797" s="51" t="s">
        <v>799</v>
      </c>
      <c r="E797" s="44"/>
      <c r="F797" s="44"/>
      <c r="G797" s="41">
        <f t="shared" si="64"/>
        <v>2265</v>
      </c>
      <c r="H797" s="45">
        <f t="shared" ref="H797:H828" si="66">K797-G797+1</f>
        <v>2</v>
      </c>
      <c r="I797" s="47" t="s">
        <v>351</v>
      </c>
      <c r="J797" s="48" t="s">
        <v>305</v>
      </c>
      <c r="K797" s="41">
        <f t="shared" si="65"/>
        <v>2266</v>
      </c>
    </row>
    <row r="798" spans="4:11" s="41" customFormat="1">
      <c r="D798" s="51" t="s">
        <v>798</v>
      </c>
      <c r="E798" s="44"/>
      <c r="F798" s="44"/>
      <c r="G798" s="41">
        <f t="shared" si="64"/>
        <v>2267</v>
      </c>
      <c r="H798" s="45">
        <f t="shared" si="66"/>
        <v>2</v>
      </c>
      <c r="I798" s="47" t="s">
        <v>351</v>
      </c>
      <c r="J798" s="48" t="s">
        <v>305</v>
      </c>
      <c r="K798" s="41">
        <f t="shared" si="65"/>
        <v>2268</v>
      </c>
    </row>
    <row r="799" spans="4:11" s="41" customFormat="1">
      <c r="D799" s="51" t="s">
        <v>797</v>
      </c>
      <c r="E799" s="44"/>
      <c r="F799" s="44"/>
      <c r="G799" s="41">
        <f t="shared" si="64"/>
        <v>2269</v>
      </c>
      <c r="H799" s="45">
        <f t="shared" si="66"/>
        <v>2</v>
      </c>
      <c r="I799" s="47" t="s">
        <v>351</v>
      </c>
      <c r="J799" s="48" t="s">
        <v>305</v>
      </c>
      <c r="K799" s="41">
        <f t="shared" si="65"/>
        <v>2270</v>
      </c>
    </row>
    <row r="800" spans="4:11" s="41" customFormat="1">
      <c r="D800" s="51" t="s">
        <v>796</v>
      </c>
      <c r="E800" s="44"/>
      <c r="F800" s="44"/>
      <c r="G800" s="41">
        <f t="shared" si="64"/>
        <v>2271</v>
      </c>
      <c r="H800" s="45">
        <f t="shared" si="66"/>
        <v>2</v>
      </c>
      <c r="I800" s="47" t="s">
        <v>351</v>
      </c>
      <c r="J800" s="48" t="s">
        <v>305</v>
      </c>
      <c r="K800" s="41">
        <f t="shared" si="65"/>
        <v>2272</v>
      </c>
    </row>
    <row r="801" spans="4:11" s="41" customFormat="1">
      <c r="D801" s="51" t="s">
        <v>795</v>
      </c>
      <c r="E801" s="44"/>
      <c r="F801" s="44"/>
      <c r="G801" s="41">
        <f t="shared" si="64"/>
        <v>2273</v>
      </c>
      <c r="H801" s="45">
        <f t="shared" si="66"/>
        <v>2</v>
      </c>
      <c r="I801" s="47" t="s">
        <v>351</v>
      </c>
      <c r="J801" s="48" t="s">
        <v>305</v>
      </c>
      <c r="K801" s="41">
        <f t="shared" si="65"/>
        <v>2274</v>
      </c>
    </row>
    <row r="802" spans="4:11" s="41" customFormat="1">
      <c r="D802" s="51" t="s">
        <v>794</v>
      </c>
      <c r="E802" s="44"/>
      <c r="F802" s="44"/>
      <c r="G802" s="41">
        <f t="shared" si="64"/>
        <v>2275</v>
      </c>
      <c r="H802" s="45">
        <f t="shared" si="66"/>
        <v>2</v>
      </c>
      <c r="I802" s="47" t="s">
        <v>351</v>
      </c>
      <c r="J802" s="48" t="s">
        <v>305</v>
      </c>
      <c r="K802" s="41">
        <f t="shared" si="65"/>
        <v>2276</v>
      </c>
    </row>
    <row r="803" spans="4:11" s="41" customFormat="1">
      <c r="D803" s="51" t="s">
        <v>793</v>
      </c>
      <c r="E803" s="44"/>
      <c r="F803" s="44"/>
      <c r="G803" s="41">
        <f t="shared" si="64"/>
        <v>2277</v>
      </c>
      <c r="H803" s="45">
        <f t="shared" si="66"/>
        <v>2</v>
      </c>
      <c r="I803" s="47" t="s">
        <v>351</v>
      </c>
      <c r="J803" s="48" t="s">
        <v>305</v>
      </c>
      <c r="K803" s="41">
        <f t="shared" si="65"/>
        <v>2278</v>
      </c>
    </row>
    <row r="804" spans="4:11" s="41" customFormat="1">
      <c r="D804" s="51" t="s">
        <v>792</v>
      </c>
      <c r="E804" s="44"/>
      <c r="F804" s="44"/>
      <c r="G804" s="41">
        <f t="shared" si="64"/>
        <v>2279</v>
      </c>
      <c r="H804" s="45">
        <f t="shared" si="66"/>
        <v>2</v>
      </c>
      <c r="I804" s="47" t="s">
        <v>351</v>
      </c>
      <c r="J804" s="48" t="s">
        <v>305</v>
      </c>
      <c r="K804" s="41">
        <f t="shared" si="65"/>
        <v>2280</v>
      </c>
    </row>
    <row r="805" spans="4:11" s="41" customFormat="1">
      <c r="D805" s="51" t="s">
        <v>791</v>
      </c>
      <c r="E805" s="44"/>
      <c r="F805" s="44"/>
      <c r="G805" s="41">
        <v>2301</v>
      </c>
      <c r="H805" s="45">
        <f t="shared" si="66"/>
        <v>2</v>
      </c>
      <c r="I805" s="47" t="s">
        <v>351</v>
      </c>
      <c r="J805" s="48" t="s">
        <v>10</v>
      </c>
      <c r="K805" s="41">
        <v>2302</v>
      </c>
    </row>
    <row r="806" spans="4:11" s="41" customFormat="1">
      <c r="D806" s="51" t="s">
        <v>790</v>
      </c>
      <c r="E806" s="44"/>
      <c r="F806" s="44"/>
      <c r="G806" s="41">
        <f t="shared" ref="G806:G844" si="67">G805+2</f>
        <v>2303</v>
      </c>
      <c r="H806" s="45">
        <f t="shared" si="66"/>
        <v>2</v>
      </c>
      <c r="I806" s="47" t="s">
        <v>351</v>
      </c>
      <c r="J806" s="48" t="s">
        <v>305</v>
      </c>
      <c r="K806" s="41">
        <f t="shared" ref="K806:K844" si="68">K805+2</f>
        <v>2304</v>
      </c>
    </row>
    <row r="807" spans="4:11" s="41" customFormat="1">
      <c r="D807" s="51" t="s">
        <v>789</v>
      </c>
      <c r="E807" s="44"/>
      <c r="F807" s="44"/>
      <c r="G807" s="41">
        <f t="shared" si="67"/>
        <v>2305</v>
      </c>
      <c r="H807" s="45">
        <f t="shared" si="66"/>
        <v>2</v>
      </c>
      <c r="I807" s="47" t="s">
        <v>351</v>
      </c>
      <c r="J807" s="48" t="s">
        <v>305</v>
      </c>
      <c r="K807" s="41">
        <f t="shared" si="68"/>
        <v>2306</v>
      </c>
    </row>
    <row r="808" spans="4:11" s="41" customFormat="1">
      <c r="D808" s="51" t="s">
        <v>788</v>
      </c>
      <c r="E808" s="44"/>
      <c r="F808" s="44"/>
      <c r="G808" s="41">
        <f t="shared" si="67"/>
        <v>2307</v>
      </c>
      <c r="H808" s="45">
        <f t="shared" si="66"/>
        <v>2</v>
      </c>
      <c r="I808" s="47" t="s">
        <v>351</v>
      </c>
      <c r="J808" s="48" t="s">
        <v>305</v>
      </c>
      <c r="K808" s="41">
        <f t="shared" si="68"/>
        <v>2308</v>
      </c>
    </row>
    <row r="809" spans="4:11" s="41" customFormat="1">
      <c r="D809" s="51" t="s">
        <v>787</v>
      </c>
      <c r="E809" s="44"/>
      <c r="F809" s="44"/>
      <c r="G809" s="41">
        <f t="shared" si="67"/>
        <v>2309</v>
      </c>
      <c r="H809" s="45">
        <f t="shared" si="66"/>
        <v>2</v>
      </c>
      <c r="I809" s="47" t="s">
        <v>351</v>
      </c>
      <c r="J809" s="48" t="s">
        <v>305</v>
      </c>
      <c r="K809" s="41">
        <f t="shared" si="68"/>
        <v>2310</v>
      </c>
    </row>
    <row r="810" spans="4:11" s="41" customFormat="1">
      <c r="D810" s="51" t="s">
        <v>786</v>
      </c>
      <c r="E810" s="44"/>
      <c r="F810" s="44"/>
      <c r="G810" s="41">
        <f t="shared" si="67"/>
        <v>2311</v>
      </c>
      <c r="H810" s="45">
        <f t="shared" si="66"/>
        <v>2</v>
      </c>
      <c r="I810" s="47" t="s">
        <v>351</v>
      </c>
      <c r="J810" s="48" t="s">
        <v>305</v>
      </c>
      <c r="K810" s="41">
        <f t="shared" si="68"/>
        <v>2312</v>
      </c>
    </row>
    <row r="811" spans="4:11" s="41" customFormat="1">
      <c r="D811" s="51" t="s">
        <v>785</v>
      </c>
      <c r="E811" s="44"/>
      <c r="F811" s="44"/>
      <c r="G811" s="41">
        <f t="shared" si="67"/>
        <v>2313</v>
      </c>
      <c r="H811" s="45">
        <f t="shared" si="66"/>
        <v>2</v>
      </c>
      <c r="I811" s="47" t="s">
        <v>351</v>
      </c>
      <c r="J811" s="48" t="s">
        <v>305</v>
      </c>
      <c r="K811" s="41">
        <f t="shared" si="68"/>
        <v>2314</v>
      </c>
    </row>
    <row r="812" spans="4:11" s="41" customFormat="1">
      <c r="D812" s="51" t="s">
        <v>784</v>
      </c>
      <c r="E812" s="44"/>
      <c r="F812" s="44"/>
      <c r="G812" s="41">
        <f t="shared" si="67"/>
        <v>2315</v>
      </c>
      <c r="H812" s="45">
        <f t="shared" si="66"/>
        <v>2</v>
      </c>
      <c r="I812" s="47" t="s">
        <v>351</v>
      </c>
      <c r="J812" s="48" t="s">
        <v>305</v>
      </c>
      <c r="K812" s="41">
        <f t="shared" si="68"/>
        <v>2316</v>
      </c>
    </row>
    <row r="813" spans="4:11" s="41" customFormat="1">
      <c r="D813" s="51" t="s">
        <v>783</v>
      </c>
      <c r="E813" s="44"/>
      <c r="F813" s="44"/>
      <c r="G813" s="41">
        <f t="shared" si="67"/>
        <v>2317</v>
      </c>
      <c r="H813" s="45">
        <f t="shared" si="66"/>
        <v>2</v>
      </c>
      <c r="I813" s="47" t="s">
        <v>351</v>
      </c>
      <c r="J813" s="48" t="s">
        <v>305</v>
      </c>
      <c r="K813" s="41">
        <f t="shared" si="68"/>
        <v>2318</v>
      </c>
    </row>
    <row r="814" spans="4:11" s="41" customFormat="1">
      <c r="D814" s="51" t="s">
        <v>782</v>
      </c>
      <c r="E814" s="44"/>
      <c r="F814" s="44"/>
      <c r="G814" s="41">
        <f t="shared" si="67"/>
        <v>2319</v>
      </c>
      <c r="H814" s="45">
        <f t="shared" si="66"/>
        <v>2</v>
      </c>
      <c r="I814" s="47" t="s">
        <v>351</v>
      </c>
      <c r="J814" s="48" t="s">
        <v>305</v>
      </c>
      <c r="K814" s="41">
        <f t="shared" si="68"/>
        <v>2320</v>
      </c>
    </row>
    <row r="815" spans="4:11" s="41" customFormat="1">
      <c r="D815" s="51" t="s">
        <v>781</v>
      </c>
      <c r="E815" s="44"/>
      <c r="F815" s="44"/>
      <c r="G815" s="41">
        <f t="shared" si="67"/>
        <v>2321</v>
      </c>
      <c r="H815" s="45">
        <f t="shared" si="66"/>
        <v>2</v>
      </c>
      <c r="I815" s="47" t="s">
        <v>351</v>
      </c>
      <c r="J815" s="48" t="s">
        <v>305</v>
      </c>
      <c r="K815" s="41">
        <f t="shared" si="68"/>
        <v>2322</v>
      </c>
    </row>
    <row r="816" spans="4:11" s="41" customFormat="1">
      <c r="D816" s="51" t="s">
        <v>780</v>
      </c>
      <c r="E816" s="44"/>
      <c r="F816" s="44"/>
      <c r="G816" s="41">
        <f t="shared" si="67"/>
        <v>2323</v>
      </c>
      <c r="H816" s="45">
        <f t="shared" si="66"/>
        <v>2</v>
      </c>
      <c r="I816" s="47" t="s">
        <v>351</v>
      </c>
      <c r="J816" s="48" t="s">
        <v>305</v>
      </c>
      <c r="K816" s="41">
        <f t="shared" si="68"/>
        <v>2324</v>
      </c>
    </row>
    <row r="817" spans="4:11" s="41" customFormat="1">
      <c r="D817" s="51" t="s">
        <v>779</v>
      </c>
      <c r="E817" s="44"/>
      <c r="F817" s="44"/>
      <c r="G817" s="41">
        <f t="shared" si="67"/>
        <v>2325</v>
      </c>
      <c r="H817" s="45">
        <f t="shared" si="66"/>
        <v>2</v>
      </c>
      <c r="I817" s="47" t="s">
        <v>351</v>
      </c>
      <c r="J817" s="48" t="s">
        <v>305</v>
      </c>
      <c r="K817" s="41">
        <f t="shared" si="68"/>
        <v>2326</v>
      </c>
    </row>
    <row r="818" spans="4:11" s="41" customFormat="1">
      <c r="D818" s="51" t="s">
        <v>778</v>
      </c>
      <c r="E818" s="44"/>
      <c r="F818" s="44"/>
      <c r="G818" s="41">
        <f t="shared" si="67"/>
        <v>2327</v>
      </c>
      <c r="H818" s="45">
        <f t="shared" si="66"/>
        <v>2</v>
      </c>
      <c r="I818" s="47" t="s">
        <v>351</v>
      </c>
      <c r="J818" s="48" t="s">
        <v>305</v>
      </c>
      <c r="K818" s="41">
        <f t="shared" si="68"/>
        <v>2328</v>
      </c>
    </row>
    <row r="819" spans="4:11" s="41" customFormat="1">
      <c r="D819" s="51" t="s">
        <v>777</v>
      </c>
      <c r="E819" s="44"/>
      <c r="F819" s="44"/>
      <c r="G819" s="41">
        <f t="shared" si="67"/>
        <v>2329</v>
      </c>
      <c r="H819" s="45">
        <f t="shared" si="66"/>
        <v>2</v>
      </c>
      <c r="I819" s="47" t="s">
        <v>351</v>
      </c>
      <c r="J819" s="48" t="s">
        <v>305</v>
      </c>
      <c r="K819" s="41">
        <f t="shared" si="68"/>
        <v>2330</v>
      </c>
    </row>
    <row r="820" spans="4:11" s="41" customFormat="1">
      <c r="D820" s="51" t="s">
        <v>776</v>
      </c>
      <c r="E820" s="44"/>
      <c r="F820" s="44"/>
      <c r="G820" s="41">
        <f t="shared" si="67"/>
        <v>2331</v>
      </c>
      <c r="H820" s="45">
        <f t="shared" si="66"/>
        <v>2</v>
      </c>
      <c r="I820" s="47" t="s">
        <v>351</v>
      </c>
      <c r="J820" s="48" t="s">
        <v>305</v>
      </c>
      <c r="K820" s="41">
        <f t="shared" si="68"/>
        <v>2332</v>
      </c>
    </row>
    <row r="821" spans="4:11" s="41" customFormat="1">
      <c r="D821" s="51" t="s">
        <v>775</v>
      </c>
      <c r="E821" s="44"/>
      <c r="F821" s="44"/>
      <c r="G821" s="41">
        <f t="shared" si="67"/>
        <v>2333</v>
      </c>
      <c r="H821" s="45">
        <f t="shared" si="66"/>
        <v>2</v>
      </c>
      <c r="I821" s="47" t="s">
        <v>351</v>
      </c>
      <c r="J821" s="48" t="s">
        <v>305</v>
      </c>
      <c r="K821" s="41">
        <f t="shared" si="68"/>
        <v>2334</v>
      </c>
    </row>
    <row r="822" spans="4:11" s="41" customFormat="1">
      <c r="D822" s="51" t="s">
        <v>774</v>
      </c>
      <c r="E822" s="44"/>
      <c r="F822" s="44"/>
      <c r="G822" s="41">
        <f t="shared" si="67"/>
        <v>2335</v>
      </c>
      <c r="H822" s="45">
        <f t="shared" si="66"/>
        <v>2</v>
      </c>
      <c r="I822" s="47" t="s">
        <v>351</v>
      </c>
      <c r="J822" s="48" t="s">
        <v>305</v>
      </c>
      <c r="K822" s="41">
        <f t="shared" si="68"/>
        <v>2336</v>
      </c>
    </row>
    <row r="823" spans="4:11" s="41" customFormat="1">
      <c r="D823" s="51" t="s">
        <v>773</v>
      </c>
      <c r="E823" s="44"/>
      <c r="F823" s="44"/>
      <c r="G823" s="41">
        <f t="shared" si="67"/>
        <v>2337</v>
      </c>
      <c r="H823" s="45">
        <f t="shared" si="66"/>
        <v>2</v>
      </c>
      <c r="I823" s="47" t="s">
        <v>351</v>
      </c>
      <c r="J823" s="48" t="s">
        <v>305</v>
      </c>
      <c r="K823" s="41">
        <f t="shared" si="68"/>
        <v>2338</v>
      </c>
    </row>
    <row r="824" spans="4:11" s="41" customFormat="1">
      <c r="D824" s="51" t="s">
        <v>772</v>
      </c>
      <c r="E824" s="44"/>
      <c r="F824" s="44"/>
      <c r="G824" s="41">
        <f t="shared" si="67"/>
        <v>2339</v>
      </c>
      <c r="H824" s="45">
        <f t="shared" si="66"/>
        <v>2</v>
      </c>
      <c r="I824" s="47" t="s">
        <v>351</v>
      </c>
      <c r="J824" s="48" t="s">
        <v>305</v>
      </c>
      <c r="K824" s="41">
        <f t="shared" si="68"/>
        <v>2340</v>
      </c>
    </row>
    <row r="825" spans="4:11" s="41" customFormat="1">
      <c r="D825" s="51" t="s">
        <v>771</v>
      </c>
      <c r="E825" s="44"/>
      <c r="F825" s="44"/>
      <c r="G825" s="41">
        <f t="shared" si="67"/>
        <v>2341</v>
      </c>
      <c r="H825" s="45">
        <f t="shared" si="66"/>
        <v>2</v>
      </c>
      <c r="I825" s="47" t="s">
        <v>351</v>
      </c>
      <c r="J825" s="48" t="s">
        <v>305</v>
      </c>
      <c r="K825" s="41">
        <f t="shared" si="68"/>
        <v>2342</v>
      </c>
    </row>
    <row r="826" spans="4:11" s="41" customFormat="1">
      <c r="D826" s="51" t="s">
        <v>770</v>
      </c>
      <c r="E826" s="44"/>
      <c r="F826" s="44"/>
      <c r="G826" s="41">
        <f t="shared" si="67"/>
        <v>2343</v>
      </c>
      <c r="H826" s="45">
        <f t="shared" si="66"/>
        <v>2</v>
      </c>
      <c r="I826" s="47" t="s">
        <v>351</v>
      </c>
      <c r="J826" s="48" t="s">
        <v>305</v>
      </c>
      <c r="K826" s="41">
        <f t="shared" si="68"/>
        <v>2344</v>
      </c>
    </row>
    <row r="827" spans="4:11" s="41" customFormat="1">
      <c r="D827" s="51" t="s">
        <v>769</v>
      </c>
      <c r="E827" s="44"/>
      <c r="F827" s="44"/>
      <c r="G827" s="41">
        <f t="shared" si="67"/>
        <v>2345</v>
      </c>
      <c r="H827" s="45">
        <f t="shared" si="66"/>
        <v>2</v>
      </c>
      <c r="I827" s="47" t="s">
        <v>351</v>
      </c>
      <c r="J827" s="48" t="s">
        <v>305</v>
      </c>
      <c r="K827" s="41">
        <f t="shared" si="68"/>
        <v>2346</v>
      </c>
    </row>
    <row r="828" spans="4:11" s="41" customFormat="1">
      <c r="D828" s="51" t="s">
        <v>768</v>
      </c>
      <c r="E828" s="44"/>
      <c r="F828" s="44"/>
      <c r="G828" s="41">
        <f t="shared" si="67"/>
        <v>2347</v>
      </c>
      <c r="H828" s="45">
        <f t="shared" si="66"/>
        <v>2</v>
      </c>
      <c r="I828" s="47" t="s">
        <v>351</v>
      </c>
      <c r="J828" s="48" t="s">
        <v>305</v>
      </c>
      <c r="K828" s="41">
        <f t="shared" si="68"/>
        <v>2348</v>
      </c>
    </row>
    <row r="829" spans="4:11" s="41" customFormat="1">
      <c r="D829" s="51" t="s">
        <v>767</v>
      </c>
      <c r="E829" s="44"/>
      <c r="F829" s="44"/>
      <c r="G829" s="41">
        <f t="shared" si="67"/>
        <v>2349</v>
      </c>
      <c r="H829" s="45">
        <f t="shared" ref="H829:H860" si="69">K829-G829+1</f>
        <v>2</v>
      </c>
      <c r="I829" s="47" t="s">
        <v>351</v>
      </c>
      <c r="J829" s="48" t="s">
        <v>305</v>
      </c>
      <c r="K829" s="41">
        <f t="shared" si="68"/>
        <v>2350</v>
      </c>
    </row>
    <row r="830" spans="4:11" s="41" customFormat="1">
      <c r="D830" s="51" t="s">
        <v>766</v>
      </c>
      <c r="E830" s="44"/>
      <c r="F830" s="44"/>
      <c r="G830" s="41">
        <f t="shared" si="67"/>
        <v>2351</v>
      </c>
      <c r="H830" s="45">
        <f t="shared" si="69"/>
        <v>2</v>
      </c>
      <c r="I830" s="47" t="s">
        <v>351</v>
      </c>
      <c r="J830" s="48" t="s">
        <v>305</v>
      </c>
      <c r="K830" s="41">
        <f t="shared" si="68"/>
        <v>2352</v>
      </c>
    </row>
    <row r="831" spans="4:11" s="41" customFormat="1">
      <c r="D831" s="51" t="s">
        <v>765</v>
      </c>
      <c r="E831" s="44"/>
      <c r="F831" s="44"/>
      <c r="G831" s="41">
        <f t="shared" si="67"/>
        <v>2353</v>
      </c>
      <c r="H831" s="45">
        <f t="shared" si="69"/>
        <v>2</v>
      </c>
      <c r="I831" s="47" t="s">
        <v>351</v>
      </c>
      <c r="J831" s="48" t="s">
        <v>305</v>
      </c>
      <c r="K831" s="41">
        <f t="shared" si="68"/>
        <v>2354</v>
      </c>
    </row>
    <row r="832" spans="4:11" s="41" customFormat="1">
      <c r="D832" s="51" t="s">
        <v>764</v>
      </c>
      <c r="E832" s="44"/>
      <c r="F832" s="44"/>
      <c r="G832" s="41">
        <f t="shared" si="67"/>
        <v>2355</v>
      </c>
      <c r="H832" s="45">
        <f t="shared" si="69"/>
        <v>2</v>
      </c>
      <c r="I832" s="47" t="s">
        <v>351</v>
      </c>
      <c r="J832" s="48" t="s">
        <v>305</v>
      </c>
      <c r="K832" s="41">
        <f t="shared" si="68"/>
        <v>2356</v>
      </c>
    </row>
    <row r="833" spans="4:11" s="41" customFormat="1">
      <c r="D833" s="51" t="s">
        <v>763</v>
      </c>
      <c r="E833" s="44"/>
      <c r="F833" s="44"/>
      <c r="G833" s="41">
        <f t="shared" si="67"/>
        <v>2357</v>
      </c>
      <c r="H833" s="45">
        <f t="shared" si="69"/>
        <v>2</v>
      </c>
      <c r="I833" s="47" t="s">
        <v>351</v>
      </c>
      <c r="J833" s="48" t="s">
        <v>305</v>
      </c>
      <c r="K833" s="41">
        <f t="shared" si="68"/>
        <v>2358</v>
      </c>
    </row>
    <row r="834" spans="4:11" s="41" customFormat="1">
      <c r="D834" s="51" t="s">
        <v>762</v>
      </c>
      <c r="E834" s="44"/>
      <c r="F834" s="44"/>
      <c r="G834" s="41">
        <f t="shared" si="67"/>
        <v>2359</v>
      </c>
      <c r="H834" s="45">
        <f t="shared" si="69"/>
        <v>2</v>
      </c>
      <c r="I834" s="47" t="s">
        <v>351</v>
      </c>
      <c r="J834" s="48" t="s">
        <v>305</v>
      </c>
      <c r="K834" s="41">
        <f t="shared" si="68"/>
        <v>2360</v>
      </c>
    </row>
    <row r="835" spans="4:11" s="41" customFormat="1">
      <c r="D835" s="51" t="s">
        <v>761</v>
      </c>
      <c r="E835" s="44"/>
      <c r="F835" s="44"/>
      <c r="G835" s="41">
        <f t="shared" si="67"/>
        <v>2361</v>
      </c>
      <c r="H835" s="45">
        <f t="shared" si="69"/>
        <v>2</v>
      </c>
      <c r="I835" s="47" t="s">
        <v>351</v>
      </c>
      <c r="J835" s="48" t="s">
        <v>305</v>
      </c>
      <c r="K835" s="41">
        <f t="shared" si="68"/>
        <v>2362</v>
      </c>
    </row>
    <row r="836" spans="4:11" s="41" customFormat="1">
      <c r="D836" s="51" t="s">
        <v>760</v>
      </c>
      <c r="E836" s="44"/>
      <c r="F836" s="44"/>
      <c r="G836" s="41">
        <f t="shared" si="67"/>
        <v>2363</v>
      </c>
      <c r="H836" s="45">
        <f t="shared" si="69"/>
        <v>2</v>
      </c>
      <c r="I836" s="47" t="s">
        <v>351</v>
      </c>
      <c r="J836" s="48" t="s">
        <v>305</v>
      </c>
      <c r="K836" s="41">
        <f t="shared" si="68"/>
        <v>2364</v>
      </c>
    </row>
    <row r="837" spans="4:11" s="41" customFormat="1">
      <c r="D837" s="51" t="s">
        <v>759</v>
      </c>
      <c r="E837" s="44"/>
      <c r="F837" s="44"/>
      <c r="G837" s="41">
        <f t="shared" si="67"/>
        <v>2365</v>
      </c>
      <c r="H837" s="45">
        <f t="shared" si="69"/>
        <v>2</v>
      </c>
      <c r="I837" s="47" t="s">
        <v>351</v>
      </c>
      <c r="J837" s="48" t="s">
        <v>305</v>
      </c>
      <c r="K837" s="41">
        <f t="shared" si="68"/>
        <v>2366</v>
      </c>
    </row>
    <row r="838" spans="4:11" s="41" customFormat="1">
      <c r="D838" s="51" t="s">
        <v>758</v>
      </c>
      <c r="E838" s="44"/>
      <c r="F838" s="44"/>
      <c r="G838" s="41">
        <f t="shared" si="67"/>
        <v>2367</v>
      </c>
      <c r="H838" s="45">
        <f t="shared" si="69"/>
        <v>2</v>
      </c>
      <c r="I838" s="47" t="s">
        <v>351</v>
      </c>
      <c r="J838" s="48" t="s">
        <v>305</v>
      </c>
      <c r="K838" s="41">
        <f t="shared" si="68"/>
        <v>2368</v>
      </c>
    </row>
    <row r="839" spans="4:11" s="41" customFormat="1">
      <c r="D839" s="51" t="s">
        <v>757</v>
      </c>
      <c r="E839" s="44"/>
      <c r="F839" s="44"/>
      <c r="G839" s="41">
        <f t="shared" si="67"/>
        <v>2369</v>
      </c>
      <c r="H839" s="45">
        <f t="shared" si="69"/>
        <v>2</v>
      </c>
      <c r="I839" s="47" t="s">
        <v>351</v>
      </c>
      <c r="J839" s="48" t="s">
        <v>305</v>
      </c>
      <c r="K839" s="41">
        <f t="shared" si="68"/>
        <v>2370</v>
      </c>
    </row>
    <row r="840" spans="4:11" s="41" customFormat="1">
      <c r="D840" s="51" t="s">
        <v>756</v>
      </c>
      <c r="E840" s="44"/>
      <c r="F840" s="44"/>
      <c r="G840" s="41">
        <f t="shared" si="67"/>
        <v>2371</v>
      </c>
      <c r="H840" s="45">
        <f t="shared" si="69"/>
        <v>2</v>
      </c>
      <c r="I840" s="47" t="s">
        <v>351</v>
      </c>
      <c r="J840" s="48" t="s">
        <v>305</v>
      </c>
      <c r="K840" s="41">
        <f t="shared" si="68"/>
        <v>2372</v>
      </c>
    </row>
    <row r="841" spans="4:11" s="41" customFormat="1">
      <c r="D841" s="51" t="s">
        <v>755</v>
      </c>
      <c r="E841" s="44"/>
      <c r="F841" s="44"/>
      <c r="G841" s="41">
        <f t="shared" si="67"/>
        <v>2373</v>
      </c>
      <c r="H841" s="45">
        <f t="shared" si="69"/>
        <v>2</v>
      </c>
      <c r="I841" s="47" t="s">
        <v>351</v>
      </c>
      <c r="J841" s="48" t="s">
        <v>305</v>
      </c>
      <c r="K841" s="41">
        <f t="shared" si="68"/>
        <v>2374</v>
      </c>
    </row>
    <row r="842" spans="4:11" s="41" customFormat="1">
      <c r="D842" s="51" t="s">
        <v>754</v>
      </c>
      <c r="E842" s="44"/>
      <c r="F842" s="44"/>
      <c r="G842" s="41">
        <f t="shared" si="67"/>
        <v>2375</v>
      </c>
      <c r="H842" s="45">
        <f t="shared" si="69"/>
        <v>2</v>
      </c>
      <c r="I842" s="47" t="s">
        <v>351</v>
      </c>
      <c r="J842" s="48" t="s">
        <v>305</v>
      </c>
      <c r="K842" s="41">
        <f t="shared" si="68"/>
        <v>2376</v>
      </c>
    </row>
    <row r="843" spans="4:11" s="41" customFormat="1">
      <c r="D843" s="51" t="s">
        <v>753</v>
      </c>
      <c r="E843" s="44"/>
      <c r="F843" s="44"/>
      <c r="G843" s="41">
        <f t="shared" si="67"/>
        <v>2377</v>
      </c>
      <c r="H843" s="45">
        <f t="shared" si="69"/>
        <v>2</v>
      </c>
      <c r="I843" s="47" t="s">
        <v>351</v>
      </c>
      <c r="J843" s="48" t="s">
        <v>305</v>
      </c>
      <c r="K843" s="41">
        <f t="shared" si="68"/>
        <v>2378</v>
      </c>
    </row>
    <row r="844" spans="4:11" s="41" customFormat="1">
      <c r="D844" s="51" t="s">
        <v>752</v>
      </c>
      <c r="E844" s="44"/>
      <c r="F844" s="44"/>
      <c r="G844" s="41">
        <f t="shared" si="67"/>
        <v>2379</v>
      </c>
      <c r="H844" s="45">
        <f t="shared" si="69"/>
        <v>2</v>
      </c>
      <c r="I844" s="47" t="s">
        <v>351</v>
      </c>
      <c r="J844" s="48" t="s">
        <v>305</v>
      </c>
      <c r="K844" s="41">
        <f t="shared" si="68"/>
        <v>2380</v>
      </c>
    </row>
    <row r="845" spans="4:11" s="41" customFormat="1">
      <c r="D845" s="51" t="s">
        <v>751</v>
      </c>
      <c r="E845" s="44"/>
      <c r="F845" s="44"/>
      <c r="G845" s="41">
        <v>2401</v>
      </c>
      <c r="H845" s="45">
        <f t="shared" si="69"/>
        <v>2</v>
      </c>
      <c r="I845" s="47" t="s">
        <v>351</v>
      </c>
      <c r="J845" s="48" t="s">
        <v>10</v>
      </c>
      <c r="K845" s="41">
        <v>2402</v>
      </c>
    </row>
    <row r="846" spans="4:11" s="41" customFormat="1">
      <c r="D846" s="51" t="s">
        <v>750</v>
      </c>
      <c r="E846" s="44"/>
      <c r="F846" s="44"/>
      <c r="G846" s="41">
        <f t="shared" ref="G846:G884" si="70">G845+2</f>
        <v>2403</v>
      </c>
      <c r="H846" s="45">
        <f t="shared" si="69"/>
        <v>2</v>
      </c>
      <c r="I846" s="47" t="s">
        <v>351</v>
      </c>
      <c r="J846" s="48" t="s">
        <v>305</v>
      </c>
      <c r="K846" s="41">
        <f t="shared" ref="K846:K884" si="71">K845+2</f>
        <v>2404</v>
      </c>
    </row>
    <row r="847" spans="4:11" s="41" customFormat="1">
      <c r="D847" s="51" t="s">
        <v>749</v>
      </c>
      <c r="E847" s="44"/>
      <c r="F847" s="44"/>
      <c r="G847" s="41">
        <f t="shared" si="70"/>
        <v>2405</v>
      </c>
      <c r="H847" s="45">
        <f t="shared" si="69"/>
        <v>2</v>
      </c>
      <c r="I847" s="47" t="s">
        <v>351</v>
      </c>
      <c r="J847" s="48" t="s">
        <v>305</v>
      </c>
      <c r="K847" s="41">
        <f t="shared" si="71"/>
        <v>2406</v>
      </c>
    </row>
    <row r="848" spans="4:11" s="41" customFormat="1">
      <c r="D848" s="51" t="s">
        <v>748</v>
      </c>
      <c r="E848" s="44"/>
      <c r="F848" s="44"/>
      <c r="G848" s="41">
        <f t="shared" si="70"/>
        <v>2407</v>
      </c>
      <c r="H848" s="45">
        <f t="shared" si="69"/>
        <v>2</v>
      </c>
      <c r="I848" s="47" t="s">
        <v>351</v>
      </c>
      <c r="J848" s="48" t="s">
        <v>305</v>
      </c>
      <c r="K848" s="41">
        <f t="shared" si="71"/>
        <v>2408</v>
      </c>
    </row>
    <row r="849" spans="4:11" s="41" customFormat="1">
      <c r="D849" s="51" t="s">
        <v>747</v>
      </c>
      <c r="E849" s="44"/>
      <c r="F849" s="44"/>
      <c r="G849" s="41">
        <f t="shared" si="70"/>
        <v>2409</v>
      </c>
      <c r="H849" s="45">
        <f t="shared" si="69"/>
        <v>2</v>
      </c>
      <c r="I849" s="47" t="s">
        <v>351</v>
      </c>
      <c r="J849" s="48" t="s">
        <v>305</v>
      </c>
      <c r="K849" s="41">
        <f t="shared" si="71"/>
        <v>2410</v>
      </c>
    </row>
    <row r="850" spans="4:11" s="41" customFormat="1">
      <c r="D850" s="51" t="s">
        <v>746</v>
      </c>
      <c r="E850" s="44"/>
      <c r="F850" s="44"/>
      <c r="G850" s="41">
        <f t="shared" si="70"/>
        <v>2411</v>
      </c>
      <c r="H850" s="45">
        <f t="shared" si="69"/>
        <v>2</v>
      </c>
      <c r="I850" s="47" t="s">
        <v>351</v>
      </c>
      <c r="J850" s="48" t="s">
        <v>305</v>
      </c>
      <c r="K850" s="41">
        <f t="shared" si="71"/>
        <v>2412</v>
      </c>
    </row>
    <row r="851" spans="4:11" s="41" customFormat="1">
      <c r="D851" s="51" t="s">
        <v>745</v>
      </c>
      <c r="E851" s="44"/>
      <c r="F851" s="44"/>
      <c r="G851" s="41">
        <f t="shared" si="70"/>
        <v>2413</v>
      </c>
      <c r="H851" s="45">
        <f t="shared" si="69"/>
        <v>2</v>
      </c>
      <c r="I851" s="47" t="s">
        <v>351</v>
      </c>
      <c r="J851" s="48" t="s">
        <v>305</v>
      </c>
      <c r="K851" s="41">
        <f t="shared" si="71"/>
        <v>2414</v>
      </c>
    </row>
    <row r="852" spans="4:11" s="41" customFormat="1">
      <c r="D852" s="51" t="s">
        <v>744</v>
      </c>
      <c r="E852" s="44"/>
      <c r="F852" s="44"/>
      <c r="G852" s="41">
        <f t="shared" si="70"/>
        <v>2415</v>
      </c>
      <c r="H852" s="45">
        <f t="shared" si="69"/>
        <v>2</v>
      </c>
      <c r="I852" s="47" t="s">
        <v>351</v>
      </c>
      <c r="J852" s="48" t="s">
        <v>305</v>
      </c>
      <c r="K852" s="41">
        <f t="shared" si="71"/>
        <v>2416</v>
      </c>
    </row>
    <row r="853" spans="4:11" s="41" customFormat="1">
      <c r="D853" s="51" t="s">
        <v>743</v>
      </c>
      <c r="E853" s="44"/>
      <c r="F853" s="44"/>
      <c r="G853" s="41">
        <f t="shared" si="70"/>
        <v>2417</v>
      </c>
      <c r="H853" s="45">
        <f t="shared" si="69"/>
        <v>2</v>
      </c>
      <c r="I853" s="47" t="s">
        <v>351</v>
      </c>
      <c r="J853" s="48" t="s">
        <v>305</v>
      </c>
      <c r="K853" s="41">
        <f t="shared" si="71"/>
        <v>2418</v>
      </c>
    </row>
    <row r="854" spans="4:11" s="41" customFormat="1">
      <c r="D854" s="51" t="s">
        <v>742</v>
      </c>
      <c r="E854" s="44"/>
      <c r="F854" s="44"/>
      <c r="G854" s="41">
        <f t="shared" si="70"/>
        <v>2419</v>
      </c>
      <c r="H854" s="45">
        <f t="shared" si="69"/>
        <v>2</v>
      </c>
      <c r="I854" s="47" t="s">
        <v>351</v>
      </c>
      <c r="J854" s="48" t="s">
        <v>305</v>
      </c>
      <c r="K854" s="41">
        <f t="shared" si="71"/>
        <v>2420</v>
      </c>
    </row>
    <row r="855" spans="4:11" s="41" customFormat="1">
      <c r="D855" s="51" t="s">
        <v>741</v>
      </c>
      <c r="E855" s="44"/>
      <c r="F855" s="44"/>
      <c r="G855" s="41">
        <f t="shared" si="70"/>
        <v>2421</v>
      </c>
      <c r="H855" s="45">
        <f t="shared" si="69"/>
        <v>2</v>
      </c>
      <c r="I855" s="47" t="s">
        <v>351</v>
      </c>
      <c r="J855" s="48" t="s">
        <v>305</v>
      </c>
      <c r="K855" s="41">
        <f t="shared" si="71"/>
        <v>2422</v>
      </c>
    </row>
    <row r="856" spans="4:11" s="41" customFormat="1">
      <c r="D856" s="51" t="s">
        <v>740</v>
      </c>
      <c r="E856" s="44"/>
      <c r="F856" s="44"/>
      <c r="G856" s="41">
        <f t="shared" si="70"/>
        <v>2423</v>
      </c>
      <c r="H856" s="45">
        <f t="shared" si="69"/>
        <v>2</v>
      </c>
      <c r="I856" s="47" t="s">
        <v>351</v>
      </c>
      <c r="J856" s="48" t="s">
        <v>305</v>
      </c>
      <c r="K856" s="41">
        <f t="shared" si="71"/>
        <v>2424</v>
      </c>
    </row>
    <row r="857" spans="4:11" s="41" customFormat="1">
      <c r="D857" s="51" t="s">
        <v>739</v>
      </c>
      <c r="E857" s="44"/>
      <c r="F857" s="44"/>
      <c r="G857" s="41">
        <f t="shared" si="70"/>
        <v>2425</v>
      </c>
      <c r="H857" s="45">
        <f t="shared" si="69"/>
        <v>2</v>
      </c>
      <c r="I857" s="47" t="s">
        <v>351</v>
      </c>
      <c r="J857" s="48" t="s">
        <v>305</v>
      </c>
      <c r="K857" s="41">
        <f t="shared" si="71"/>
        <v>2426</v>
      </c>
    </row>
    <row r="858" spans="4:11" s="41" customFormat="1">
      <c r="D858" s="51" t="s">
        <v>738</v>
      </c>
      <c r="E858" s="44"/>
      <c r="F858" s="44"/>
      <c r="G858" s="41">
        <f t="shared" si="70"/>
        <v>2427</v>
      </c>
      <c r="H858" s="45">
        <f t="shared" si="69"/>
        <v>2</v>
      </c>
      <c r="I858" s="47" t="s">
        <v>351</v>
      </c>
      <c r="J858" s="48" t="s">
        <v>305</v>
      </c>
      <c r="K858" s="41">
        <f t="shared" si="71"/>
        <v>2428</v>
      </c>
    </row>
    <row r="859" spans="4:11" s="41" customFormat="1">
      <c r="D859" s="51" t="s">
        <v>737</v>
      </c>
      <c r="E859" s="44"/>
      <c r="F859" s="44"/>
      <c r="G859" s="41">
        <f t="shared" si="70"/>
        <v>2429</v>
      </c>
      <c r="H859" s="45">
        <f t="shared" si="69"/>
        <v>2</v>
      </c>
      <c r="I859" s="47" t="s">
        <v>351</v>
      </c>
      <c r="J859" s="48" t="s">
        <v>305</v>
      </c>
      <c r="K859" s="41">
        <f t="shared" si="71"/>
        <v>2430</v>
      </c>
    </row>
    <row r="860" spans="4:11" s="41" customFormat="1">
      <c r="D860" s="51" t="s">
        <v>736</v>
      </c>
      <c r="E860" s="44"/>
      <c r="F860" s="44"/>
      <c r="G860" s="41">
        <f t="shared" si="70"/>
        <v>2431</v>
      </c>
      <c r="H860" s="45">
        <f t="shared" si="69"/>
        <v>2</v>
      </c>
      <c r="I860" s="47" t="s">
        <v>351</v>
      </c>
      <c r="J860" s="48" t="s">
        <v>305</v>
      </c>
      <c r="K860" s="41">
        <f t="shared" si="71"/>
        <v>2432</v>
      </c>
    </row>
    <row r="861" spans="4:11" s="41" customFormat="1">
      <c r="D861" s="51" t="s">
        <v>735</v>
      </c>
      <c r="E861" s="44"/>
      <c r="F861" s="44"/>
      <c r="G861" s="41">
        <f t="shared" si="70"/>
        <v>2433</v>
      </c>
      <c r="H861" s="45">
        <f t="shared" ref="H861:H884" si="72">K861-G861+1</f>
        <v>2</v>
      </c>
      <c r="I861" s="47" t="s">
        <v>351</v>
      </c>
      <c r="J861" s="48" t="s">
        <v>305</v>
      </c>
      <c r="K861" s="41">
        <f t="shared" si="71"/>
        <v>2434</v>
      </c>
    </row>
    <row r="862" spans="4:11" s="41" customFormat="1">
      <c r="D862" s="51" t="s">
        <v>734</v>
      </c>
      <c r="E862" s="44"/>
      <c r="F862" s="44"/>
      <c r="G862" s="41">
        <f t="shared" si="70"/>
        <v>2435</v>
      </c>
      <c r="H862" s="45">
        <f t="shared" si="72"/>
        <v>2</v>
      </c>
      <c r="I862" s="47" t="s">
        <v>351</v>
      </c>
      <c r="J862" s="48" t="s">
        <v>305</v>
      </c>
      <c r="K862" s="41">
        <f t="shared" si="71"/>
        <v>2436</v>
      </c>
    </row>
    <row r="863" spans="4:11" s="41" customFormat="1">
      <c r="D863" s="51" t="s">
        <v>733</v>
      </c>
      <c r="E863" s="44"/>
      <c r="F863" s="44"/>
      <c r="G863" s="41">
        <f t="shared" si="70"/>
        <v>2437</v>
      </c>
      <c r="H863" s="45">
        <f t="shared" si="72"/>
        <v>2</v>
      </c>
      <c r="I863" s="47" t="s">
        <v>351</v>
      </c>
      <c r="J863" s="48" t="s">
        <v>305</v>
      </c>
      <c r="K863" s="41">
        <f t="shared" si="71"/>
        <v>2438</v>
      </c>
    </row>
    <row r="864" spans="4:11" s="41" customFormat="1">
      <c r="D864" s="51" t="s">
        <v>732</v>
      </c>
      <c r="E864" s="44"/>
      <c r="F864" s="44"/>
      <c r="G864" s="41">
        <f t="shared" si="70"/>
        <v>2439</v>
      </c>
      <c r="H864" s="45">
        <f t="shared" si="72"/>
        <v>2</v>
      </c>
      <c r="I864" s="47" t="s">
        <v>351</v>
      </c>
      <c r="J864" s="48" t="s">
        <v>305</v>
      </c>
      <c r="K864" s="41">
        <f t="shared" si="71"/>
        <v>2440</v>
      </c>
    </row>
    <row r="865" spans="4:11" s="41" customFormat="1">
      <c r="D865" s="51" t="s">
        <v>731</v>
      </c>
      <c r="E865" s="44"/>
      <c r="F865" s="44"/>
      <c r="G865" s="41">
        <f t="shared" si="70"/>
        <v>2441</v>
      </c>
      <c r="H865" s="45">
        <f t="shared" si="72"/>
        <v>2</v>
      </c>
      <c r="I865" s="47" t="s">
        <v>351</v>
      </c>
      <c r="J865" s="48" t="s">
        <v>305</v>
      </c>
      <c r="K865" s="41">
        <f t="shared" si="71"/>
        <v>2442</v>
      </c>
    </row>
    <row r="866" spans="4:11" s="41" customFormat="1">
      <c r="D866" s="51" t="s">
        <v>730</v>
      </c>
      <c r="E866" s="44"/>
      <c r="F866" s="44"/>
      <c r="G866" s="41">
        <f t="shared" si="70"/>
        <v>2443</v>
      </c>
      <c r="H866" s="45">
        <f t="shared" si="72"/>
        <v>2</v>
      </c>
      <c r="I866" s="47" t="s">
        <v>351</v>
      </c>
      <c r="J866" s="48" t="s">
        <v>305</v>
      </c>
      <c r="K866" s="41">
        <f t="shared" si="71"/>
        <v>2444</v>
      </c>
    </row>
    <row r="867" spans="4:11" s="41" customFormat="1">
      <c r="D867" s="51" t="s">
        <v>729</v>
      </c>
      <c r="E867" s="44"/>
      <c r="F867" s="44"/>
      <c r="G867" s="41">
        <f t="shared" si="70"/>
        <v>2445</v>
      </c>
      <c r="H867" s="45">
        <f t="shared" si="72"/>
        <v>2</v>
      </c>
      <c r="I867" s="47" t="s">
        <v>351</v>
      </c>
      <c r="J867" s="48" t="s">
        <v>305</v>
      </c>
      <c r="K867" s="41">
        <f t="shared" si="71"/>
        <v>2446</v>
      </c>
    </row>
    <row r="868" spans="4:11" s="41" customFormat="1">
      <c r="D868" s="51" t="s">
        <v>728</v>
      </c>
      <c r="E868" s="44"/>
      <c r="F868" s="44"/>
      <c r="G868" s="41">
        <f t="shared" si="70"/>
        <v>2447</v>
      </c>
      <c r="H868" s="45">
        <f t="shared" si="72"/>
        <v>2</v>
      </c>
      <c r="I868" s="47" t="s">
        <v>351</v>
      </c>
      <c r="J868" s="48" t="s">
        <v>305</v>
      </c>
      <c r="K868" s="41">
        <f t="shared" si="71"/>
        <v>2448</v>
      </c>
    </row>
    <row r="869" spans="4:11" s="41" customFormat="1">
      <c r="D869" s="51" t="s">
        <v>727</v>
      </c>
      <c r="E869" s="44"/>
      <c r="F869" s="44"/>
      <c r="G869" s="41">
        <f t="shared" si="70"/>
        <v>2449</v>
      </c>
      <c r="H869" s="45">
        <f t="shared" si="72"/>
        <v>2</v>
      </c>
      <c r="I869" s="47" t="s">
        <v>351</v>
      </c>
      <c r="J869" s="48" t="s">
        <v>305</v>
      </c>
      <c r="K869" s="41">
        <f t="shared" si="71"/>
        <v>2450</v>
      </c>
    </row>
    <row r="870" spans="4:11" s="41" customFormat="1">
      <c r="D870" s="51" t="s">
        <v>726</v>
      </c>
      <c r="E870" s="44"/>
      <c r="F870" s="44"/>
      <c r="G870" s="41">
        <f t="shared" si="70"/>
        <v>2451</v>
      </c>
      <c r="H870" s="45">
        <f t="shared" si="72"/>
        <v>2</v>
      </c>
      <c r="I870" s="47" t="s">
        <v>351</v>
      </c>
      <c r="J870" s="48" t="s">
        <v>305</v>
      </c>
      <c r="K870" s="41">
        <f t="shared" si="71"/>
        <v>2452</v>
      </c>
    </row>
    <row r="871" spans="4:11" s="41" customFormat="1">
      <c r="D871" s="51" t="s">
        <v>725</v>
      </c>
      <c r="E871" s="44"/>
      <c r="F871" s="44"/>
      <c r="G871" s="41">
        <f t="shared" si="70"/>
        <v>2453</v>
      </c>
      <c r="H871" s="45">
        <f t="shared" si="72"/>
        <v>2</v>
      </c>
      <c r="I871" s="47" t="s">
        <v>351</v>
      </c>
      <c r="J871" s="48" t="s">
        <v>305</v>
      </c>
      <c r="K871" s="41">
        <f t="shared" si="71"/>
        <v>2454</v>
      </c>
    </row>
    <row r="872" spans="4:11" s="41" customFormat="1">
      <c r="D872" s="51" t="s">
        <v>724</v>
      </c>
      <c r="E872" s="44"/>
      <c r="F872" s="44"/>
      <c r="G872" s="41">
        <f t="shared" si="70"/>
        <v>2455</v>
      </c>
      <c r="H872" s="45">
        <f t="shared" si="72"/>
        <v>2</v>
      </c>
      <c r="I872" s="47" t="s">
        <v>351</v>
      </c>
      <c r="J872" s="48" t="s">
        <v>305</v>
      </c>
      <c r="K872" s="41">
        <f t="shared" si="71"/>
        <v>2456</v>
      </c>
    </row>
    <row r="873" spans="4:11" s="41" customFormat="1">
      <c r="D873" s="51" t="s">
        <v>723</v>
      </c>
      <c r="E873" s="44"/>
      <c r="F873" s="44"/>
      <c r="G873" s="41">
        <f t="shared" si="70"/>
        <v>2457</v>
      </c>
      <c r="H873" s="45">
        <f t="shared" si="72"/>
        <v>2</v>
      </c>
      <c r="I873" s="47" t="s">
        <v>351</v>
      </c>
      <c r="J873" s="48" t="s">
        <v>305</v>
      </c>
      <c r="K873" s="41">
        <f t="shared" si="71"/>
        <v>2458</v>
      </c>
    </row>
    <row r="874" spans="4:11" s="41" customFormat="1">
      <c r="D874" s="51" t="s">
        <v>722</v>
      </c>
      <c r="E874" s="44"/>
      <c r="F874" s="44"/>
      <c r="G874" s="41">
        <f t="shared" si="70"/>
        <v>2459</v>
      </c>
      <c r="H874" s="45">
        <f t="shared" si="72"/>
        <v>2</v>
      </c>
      <c r="I874" s="47" t="s">
        <v>351</v>
      </c>
      <c r="J874" s="48" t="s">
        <v>305</v>
      </c>
      <c r="K874" s="41">
        <f t="shared" si="71"/>
        <v>2460</v>
      </c>
    </row>
    <row r="875" spans="4:11" s="41" customFormat="1">
      <c r="D875" s="51" t="s">
        <v>721</v>
      </c>
      <c r="E875" s="44"/>
      <c r="F875" s="44"/>
      <c r="G875" s="41">
        <f t="shared" si="70"/>
        <v>2461</v>
      </c>
      <c r="H875" s="45">
        <f t="shared" si="72"/>
        <v>2</v>
      </c>
      <c r="I875" s="47" t="s">
        <v>351</v>
      </c>
      <c r="J875" s="48" t="s">
        <v>305</v>
      </c>
      <c r="K875" s="41">
        <f t="shared" si="71"/>
        <v>2462</v>
      </c>
    </row>
    <row r="876" spans="4:11" s="41" customFormat="1">
      <c r="D876" s="51" t="s">
        <v>720</v>
      </c>
      <c r="E876" s="44"/>
      <c r="F876" s="44"/>
      <c r="G876" s="41">
        <f t="shared" si="70"/>
        <v>2463</v>
      </c>
      <c r="H876" s="45">
        <f t="shared" si="72"/>
        <v>2</v>
      </c>
      <c r="I876" s="47" t="s">
        <v>351</v>
      </c>
      <c r="J876" s="48" t="s">
        <v>305</v>
      </c>
      <c r="K876" s="41">
        <f t="shared" si="71"/>
        <v>2464</v>
      </c>
    </row>
    <row r="877" spans="4:11" s="41" customFormat="1">
      <c r="D877" s="51" t="s">
        <v>719</v>
      </c>
      <c r="E877" s="44"/>
      <c r="F877" s="44"/>
      <c r="G877" s="41">
        <f t="shared" si="70"/>
        <v>2465</v>
      </c>
      <c r="H877" s="45">
        <f t="shared" si="72"/>
        <v>2</v>
      </c>
      <c r="I877" s="47" t="s">
        <v>351</v>
      </c>
      <c r="J877" s="48" t="s">
        <v>305</v>
      </c>
      <c r="K877" s="41">
        <f t="shared" si="71"/>
        <v>2466</v>
      </c>
    </row>
    <row r="878" spans="4:11" s="41" customFormat="1">
      <c r="D878" s="51" t="s">
        <v>718</v>
      </c>
      <c r="E878" s="44"/>
      <c r="F878" s="44"/>
      <c r="G878" s="41">
        <f t="shared" si="70"/>
        <v>2467</v>
      </c>
      <c r="H878" s="45">
        <f t="shared" si="72"/>
        <v>2</v>
      </c>
      <c r="I878" s="47" t="s">
        <v>351</v>
      </c>
      <c r="J878" s="48" t="s">
        <v>305</v>
      </c>
      <c r="K878" s="41">
        <f t="shared" si="71"/>
        <v>2468</v>
      </c>
    </row>
    <row r="879" spans="4:11" s="41" customFormat="1">
      <c r="D879" s="51" t="s">
        <v>717</v>
      </c>
      <c r="E879" s="44"/>
      <c r="F879" s="44"/>
      <c r="G879" s="41">
        <f t="shared" si="70"/>
        <v>2469</v>
      </c>
      <c r="H879" s="45">
        <f t="shared" si="72"/>
        <v>2</v>
      </c>
      <c r="I879" s="47" t="s">
        <v>351</v>
      </c>
      <c r="J879" s="48" t="s">
        <v>305</v>
      </c>
      <c r="K879" s="41">
        <f t="shared" si="71"/>
        <v>2470</v>
      </c>
    </row>
    <row r="880" spans="4:11" s="41" customFormat="1">
      <c r="D880" s="51" t="s">
        <v>716</v>
      </c>
      <c r="E880" s="44"/>
      <c r="F880" s="44"/>
      <c r="G880" s="41">
        <f t="shared" si="70"/>
        <v>2471</v>
      </c>
      <c r="H880" s="45">
        <f t="shared" si="72"/>
        <v>2</v>
      </c>
      <c r="I880" s="47" t="s">
        <v>351</v>
      </c>
      <c r="J880" s="48" t="s">
        <v>305</v>
      </c>
      <c r="K880" s="41">
        <f t="shared" si="71"/>
        <v>2472</v>
      </c>
    </row>
    <row r="881" spans="1:12" s="41" customFormat="1">
      <c r="D881" s="51" t="s">
        <v>715</v>
      </c>
      <c r="E881" s="44"/>
      <c r="F881" s="44"/>
      <c r="G881" s="41">
        <f t="shared" si="70"/>
        <v>2473</v>
      </c>
      <c r="H881" s="45">
        <f t="shared" si="72"/>
        <v>2</v>
      </c>
      <c r="I881" s="47" t="s">
        <v>351</v>
      </c>
      <c r="J881" s="48" t="s">
        <v>305</v>
      </c>
      <c r="K881" s="41">
        <f t="shared" si="71"/>
        <v>2474</v>
      </c>
    </row>
    <row r="882" spans="1:12" s="41" customFormat="1">
      <c r="D882" s="51" t="s">
        <v>714</v>
      </c>
      <c r="E882" s="44"/>
      <c r="F882" s="44"/>
      <c r="G882" s="41">
        <f t="shared" si="70"/>
        <v>2475</v>
      </c>
      <c r="H882" s="45">
        <f t="shared" si="72"/>
        <v>2</v>
      </c>
      <c r="I882" s="47" t="s">
        <v>351</v>
      </c>
      <c r="J882" s="48" t="s">
        <v>305</v>
      </c>
      <c r="K882" s="41">
        <f t="shared" si="71"/>
        <v>2476</v>
      </c>
    </row>
    <row r="883" spans="1:12" s="41" customFormat="1">
      <c r="D883" s="51" t="s">
        <v>713</v>
      </c>
      <c r="E883" s="44"/>
      <c r="F883" s="44"/>
      <c r="G883" s="41">
        <f t="shared" si="70"/>
        <v>2477</v>
      </c>
      <c r="H883" s="45">
        <f t="shared" si="72"/>
        <v>2</v>
      </c>
      <c r="I883" s="47" t="s">
        <v>351</v>
      </c>
      <c r="J883" s="48" t="s">
        <v>305</v>
      </c>
      <c r="K883" s="41">
        <f t="shared" si="71"/>
        <v>2478</v>
      </c>
    </row>
    <row r="884" spans="1:12" s="41" customFormat="1">
      <c r="D884" s="51" t="s">
        <v>712</v>
      </c>
      <c r="E884" s="44"/>
      <c r="F884" s="44"/>
      <c r="G884" s="41">
        <f t="shared" si="70"/>
        <v>2479</v>
      </c>
      <c r="H884" s="45">
        <f t="shared" si="72"/>
        <v>2</v>
      </c>
      <c r="I884" s="47" t="s">
        <v>351</v>
      </c>
      <c r="J884" s="48" t="s">
        <v>305</v>
      </c>
      <c r="K884" s="41">
        <f t="shared" si="71"/>
        <v>2480</v>
      </c>
    </row>
    <row r="885" spans="1:12" s="41" customFormat="1">
      <c r="D885" s="51"/>
      <c r="E885" s="44"/>
      <c r="F885" s="44"/>
      <c r="H885" s="44"/>
      <c r="I885" s="44"/>
      <c r="J885" s="44"/>
    </row>
    <row r="886" spans="1:12" s="43" customFormat="1">
      <c r="A886" s="42"/>
      <c r="B886" s="42" t="s">
        <v>711</v>
      </c>
      <c r="C886" s="42" t="s">
        <v>710</v>
      </c>
      <c r="D886" s="54"/>
      <c r="E886" s="46"/>
      <c r="F886" s="46"/>
      <c r="G886" s="42"/>
      <c r="H886" s="45"/>
      <c r="I886" s="46"/>
      <c r="J886" s="49"/>
      <c r="K886" s="42"/>
      <c r="L886" s="42"/>
    </row>
    <row r="887" spans="1:12" s="41" customFormat="1">
      <c r="D887" s="51" t="s">
        <v>709</v>
      </c>
      <c r="E887" s="44"/>
      <c r="F887" s="44"/>
      <c r="G887" s="41">
        <v>2601</v>
      </c>
      <c r="H887" s="45">
        <f t="shared" ref="H887:H918" si="73">K887-G887+1</f>
        <v>2</v>
      </c>
      <c r="I887" s="47" t="s">
        <v>351</v>
      </c>
      <c r="J887" s="48" t="s">
        <v>33</v>
      </c>
      <c r="K887" s="41">
        <v>2602</v>
      </c>
    </row>
    <row r="888" spans="1:12" s="41" customFormat="1">
      <c r="D888" s="51" t="s">
        <v>708</v>
      </c>
      <c r="E888" s="44"/>
      <c r="F888" s="44"/>
      <c r="G888" s="41">
        <f t="shared" ref="G888:G926" si="74">G887+2</f>
        <v>2603</v>
      </c>
      <c r="H888" s="45">
        <f t="shared" si="73"/>
        <v>2</v>
      </c>
      <c r="I888" s="47" t="s">
        <v>351</v>
      </c>
      <c r="J888" s="48" t="s">
        <v>33</v>
      </c>
      <c r="K888" s="41">
        <f t="shared" ref="K888:K926" si="75">K887 +2</f>
        <v>2604</v>
      </c>
    </row>
    <row r="889" spans="1:12" s="41" customFormat="1">
      <c r="D889" s="51" t="s">
        <v>707</v>
      </c>
      <c r="E889" s="44"/>
      <c r="F889" s="44"/>
      <c r="G889" s="41">
        <f t="shared" si="74"/>
        <v>2605</v>
      </c>
      <c r="H889" s="45">
        <f t="shared" si="73"/>
        <v>2</v>
      </c>
      <c r="I889" s="47" t="s">
        <v>351</v>
      </c>
      <c r="J889" s="48" t="s">
        <v>33</v>
      </c>
      <c r="K889" s="41">
        <f t="shared" si="75"/>
        <v>2606</v>
      </c>
    </row>
    <row r="890" spans="1:12" s="41" customFormat="1">
      <c r="D890" s="51" t="s">
        <v>706</v>
      </c>
      <c r="E890" s="44"/>
      <c r="F890" s="44"/>
      <c r="G890" s="41">
        <f t="shared" si="74"/>
        <v>2607</v>
      </c>
      <c r="H890" s="45">
        <f t="shared" si="73"/>
        <v>2</v>
      </c>
      <c r="I890" s="47" t="s">
        <v>351</v>
      </c>
      <c r="J890" s="48" t="s">
        <v>33</v>
      </c>
      <c r="K890" s="41">
        <f t="shared" si="75"/>
        <v>2608</v>
      </c>
    </row>
    <row r="891" spans="1:12" s="41" customFormat="1">
      <c r="D891" s="51" t="s">
        <v>705</v>
      </c>
      <c r="E891" s="44"/>
      <c r="F891" s="44"/>
      <c r="G891" s="41">
        <f t="shared" si="74"/>
        <v>2609</v>
      </c>
      <c r="H891" s="45">
        <f t="shared" si="73"/>
        <v>2</v>
      </c>
      <c r="I891" s="47" t="s">
        <v>351</v>
      </c>
      <c r="J891" s="48" t="s">
        <v>33</v>
      </c>
      <c r="K891" s="41">
        <f t="shared" si="75"/>
        <v>2610</v>
      </c>
    </row>
    <row r="892" spans="1:12" s="41" customFormat="1">
      <c r="D892" s="51" t="s">
        <v>704</v>
      </c>
      <c r="E892" s="44"/>
      <c r="F892" s="44"/>
      <c r="G892" s="41">
        <f t="shared" si="74"/>
        <v>2611</v>
      </c>
      <c r="H892" s="45">
        <f t="shared" si="73"/>
        <v>2</v>
      </c>
      <c r="I892" s="47" t="s">
        <v>351</v>
      </c>
      <c r="J892" s="48" t="s">
        <v>33</v>
      </c>
      <c r="K892" s="41">
        <f t="shared" si="75"/>
        <v>2612</v>
      </c>
    </row>
    <row r="893" spans="1:12" s="41" customFormat="1">
      <c r="D893" s="51" t="s">
        <v>703</v>
      </c>
      <c r="E893" s="44"/>
      <c r="F893" s="44"/>
      <c r="G893" s="41">
        <f t="shared" si="74"/>
        <v>2613</v>
      </c>
      <c r="H893" s="45">
        <f t="shared" si="73"/>
        <v>2</v>
      </c>
      <c r="I893" s="47" t="s">
        <v>351</v>
      </c>
      <c r="J893" s="48" t="s">
        <v>33</v>
      </c>
      <c r="K893" s="41">
        <f t="shared" si="75"/>
        <v>2614</v>
      </c>
    </row>
    <row r="894" spans="1:12" s="41" customFormat="1">
      <c r="D894" s="51" t="s">
        <v>702</v>
      </c>
      <c r="E894" s="44"/>
      <c r="F894" s="44"/>
      <c r="G894" s="41">
        <f t="shared" si="74"/>
        <v>2615</v>
      </c>
      <c r="H894" s="45">
        <f t="shared" si="73"/>
        <v>2</v>
      </c>
      <c r="I894" s="47" t="s">
        <v>351</v>
      </c>
      <c r="J894" s="48" t="s">
        <v>33</v>
      </c>
      <c r="K894" s="41">
        <f t="shared" si="75"/>
        <v>2616</v>
      </c>
    </row>
    <row r="895" spans="1:12" s="41" customFormat="1">
      <c r="D895" s="51" t="s">
        <v>701</v>
      </c>
      <c r="E895" s="44"/>
      <c r="F895" s="44"/>
      <c r="G895" s="41">
        <f t="shared" si="74"/>
        <v>2617</v>
      </c>
      <c r="H895" s="45">
        <f t="shared" si="73"/>
        <v>2</v>
      </c>
      <c r="I895" s="47" t="s">
        <v>351</v>
      </c>
      <c r="J895" s="48" t="s">
        <v>33</v>
      </c>
      <c r="K895" s="41">
        <f t="shared" si="75"/>
        <v>2618</v>
      </c>
    </row>
    <row r="896" spans="1:12" s="41" customFormat="1">
      <c r="D896" s="51" t="s">
        <v>700</v>
      </c>
      <c r="E896" s="44"/>
      <c r="F896" s="44"/>
      <c r="G896" s="41">
        <f t="shared" si="74"/>
        <v>2619</v>
      </c>
      <c r="H896" s="45">
        <f t="shared" si="73"/>
        <v>2</v>
      </c>
      <c r="I896" s="47" t="s">
        <v>351</v>
      </c>
      <c r="J896" s="48" t="s">
        <v>33</v>
      </c>
      <c r="K896" s="41">
        <f t="shared" si="75"/>
        <v>2620</v>
      </c>
    </row>
    <row r="897" spans="4:11" s="41" customFormat="1">
      <c r="D897" s="51" t="s">
        <v>699</v>
      </c>
      <c r="E897" s="44"/>
      <c r="F897" s="44"/>
      <c r="G897" s="41">
        <f t="shared" si="74"/>
        <v>2621</v>
      </c>
      <c r="H897" s="45">
        <f t="shared" si="73"/>
        <v>2</v>
      </c>
      <c r="I897" s="47" t="s">
        <v>351</v>
      </c>
      <c r="J897" s="48" t="s">
        <v>33</v>
      </c>
      <c r="K897" s="41">
        <f t="shared" si="75"/>
        <v>2622</v>
      </c>
    </row>
    <row r="898" spans="4:11" s="41" customFormat="1">
      <c r="D898" s="51" t="s">
        <v>698</v>
      </c>
      <c r="E898" s="44"/>
      <c r="F898" s="44"/>
      <c r="G898" s="41">
        <f t="shared" si="74"/>
        <v>2623</v>
      </c>
      <c r="H898" s="45">
        <f t="shared" si="73"/>
        <v>2</v>
      </c>
      <c r="I898" s="47" t="s">
        <v>351</v>
      </c>
      <c r="J898" s="48" t="s">
        <v>33</v>
      </c>
      <c r="K898" s="41">
        <f t="shared" si="75"/>
        <v>2624</v>
      </c>
    </row>
    <row r="899" spans="4:11" s="41" customFormat="1">
      <c r="D899" s="51" t="s">
        <v>697</v>
      </c>
      <c r="E899" s="44"/>
      <c r="F899" s="44"/>
      <c r="G899" s="41">
        <f t="shared" si="74"/>
        <v>2625</v>
      </c>
      <c r="H899" s="45">
        <f t="shared" si="73"/>
        <v>2</v>
      </c>
      <c r="I899" s="47" t="s">
        <v>351</v>
      </c>
      <c r="J899" s="48" t="s">
        <v>33</v>
      </c>
      <c r="K899" s="41">
        <f t="shared" si="75"/>
        <v>2626</v>
      </c>
    </row>
    <row r="900" spans="4:11" s="41" customFormat="1">
      <c r="D900" s="51" t="s">
        <v>696</v>
      </c>
      <c r="E900" s="44"/>
      <c r="F900" s="44"/>
      <c r="G900" s="41">
        <f t="shared" si="74"/>
        <v>2627</v>
      </c>
      <c r="H900" s="45">
        <f t="shared" si="73"/>
        <v>2</v>
      </c>
      <c r="I900" s="47" t="s">
        <v>351</v>
      </c>
      <c r="J900" s="48" t="s">
        <v>33</v>
      </c>
      <c r="K900" s="41">
        <f t="shared" si="75"/>
        <v>2628</v>
      </c>
    </row>
    <row r="901" spans="4:11" s="41" customFormat="1">
      <c r="D901" s="51" t="s">
        <v>695</v>
      </c>
      <c r="E901" s="44"/>
      <c r="F901" s="44"/>
      <c r="G901" s="41">
        <f t="shared" si="74"/>
        <v>2629</v>
      </c>
      <c r="H901" s="45">
        <f t="shared" si="73"/>
        <v>2</v>
      </c>
      <c r="I901" s="47" t="s">
        <v>351</v>
      </c>
      <c r="J901" s="48" t="s">
        <v>33</v>
      </c>
      <c r="K901" s="41">
        <f t="shared" si="75"/>
        <v>2630</v>
      </c>
    </row>
    <row r="902" spans="4:11" s="41" customFormat="1">
      <c r="D902" s="51" t="s">
        <v>694</v>
      </c>
      <c r="E902" s="44"/>
      <c r="F902" s="44"/>
      <c r="G902" s="41">
        <f t="shared" si="74"/>
        <v>2631</v>
      </c>
      <c r="H902" s="45">
        <f t="shared" si="73"/>
        <v>2</v>
      </c>
      <c r="I902" s="47" t="s">
        <v>351</v>
      </c>
      <c r="J902" s="48" t="s">
        <v>33</v>
      </c>
      <c r="K902" s="41">
        <f t="shared" si="75"/>
        <v>2632</v>
      </c>
    </row>
    <row r="903" spans="4:11" s="41" customFormat="1">
      <c r="D903" s="51" t="s">
        <v>693</v>
      </c>
      <c r="E903" s="44"/>
      <c r="F903" s="44"/>
      <c r="G903" s="41">
        <f t="shared" si="74"/>
        <v>2633</v>
      </c>
      <c r="H903" s="45">
        <f t="shared" si="73"/>
        <v>2</v>
      </c>
      <c r="I903" s="47" t="s">
        <v>351</v>
      </c>
      <c r="J903" s="48" t="s">
        <v>33</v>
      </c>
      <c r="K903" s="41">
        <f t="shared" si="75"/>
        <v>2634</v>
      </c>
    </row>
    <row r="904" spans="4:11" s="41" customFormat="1">
      <c r="D904" s="51" t="s">
        <v>692</v>
      </c>
      <c r="E904" s="44"/>
      <c r="F904" s="44"/>
      <c r="G904" s="41">
        <f t="shared" si="74"/>
        <v>2635</v>
      </c>
      <c r="H904" s="45">
        <f t="shared" si="73"/>
        <v>2</v>
      </c>
      <c r="I904" s="47" t="s">
        <v>351</v>
      </c>
      <c r="J904" s="48" t="s">
        <v>33</v>
      </c>
      <c r="K904" s="41">
        <f t="shared" si="75"/>
        <v>2636</v>
      </c>
    </row>
    <row r="905" spans="4:11" s="41" customFormat="1">
      <c r="D905" s="51" t="s">
        <v>691</v>
      </c>
      <c r="E905" s="44"/>
      <c r="F905" s="44"/>
      <c r="G905" s="41">
        <f t="shared" si="74"/>
        <v>2637</v>
      </c>
      <c r="H905" s="45">
        <f t="shared" si="73"/>
        <v>2</v>
      </c>
      <c r="I905" s="47" t="s">
        <v>351</v>
      </c>
      <c r="J905" s="48" t="s">
        <v>33</v>
      </c>
      <c r="K905" s="41">
        <f t="shared" si="75"/>
        <v>2638</v>
      </c>
    </row>
    <row r="906" spans="4:11" s="41" customFormat="1">
      <c r="D906" s="51" t="s">
        <v>690</v>
      </c>
      <c r="E906" s="44"/>
      <c r="F906" s="44"/>
      <c r="G906" s="41">
        <f t="shared" si="74"/>
        <v>2639</v>
      </c>
      <c r="H906" s="45">
        <f t="shared" si="73"/>
        <v>2</v>
      </c>
      <c r="I906" s="47" t="s">
        <v>351</v>
      </c>
      <c r="J906" s="48" t="s">
        <v>33</v>
      </c>
      <c r="K906" s="41">
        <f t="shared" si="75"/>
        <v>2640</v>
      </c>
    </row>
    <row r="907" spans="4:11" s="41" customFormat="1">
      <c r="D907" s="51" t="s">
        <v>689</v>
      </c>
      <c r="E907" s="44"/>
      <c r="F907" s="44"/>
      <c r="G907" s="41">
        <f t="shared" si="74"/>
        <v>2641</v>
      </c>
      <c r="H907" s="45">
        <f t="shared" si="73"/>
        <v>2</v>
      </c>
      <c r="I907" s="47" t="s">
        <v>351</v>
      </c>
      <c r="J907" s="48" t="s">
        <v>33</v>
      </c>
      <c r="K907" s="41">
        <f t="shared" si="75"/>
        <v>2642</v>
      </c>
    </row>
    <row r="908" spans="4:11" s="41" customFormat="1">
      <c r="D908" s="51" t="s">
        <v>688</v>
      </c>
      <c r="E908" s="44"/>
      <c r="F908" s="44"/>
      <c r="G908" s="41">
        <f t="shared" si="74"/>
        <v>2643</v>
      </c>
      <c r="H908" s="45">
        <f t="shared" si="73"/>
        <v>2</v>
      </c>
      <c r="I908" s="47" t="s">
        <v>351</v>
      </c>
      <c r="J908" s="48" t="s">
        <v>33</v>
      </c>
      <c r="K908" s="41">
        <f t="shared" si="75"/>
        <v>2644</v>
      </c>
    </row>
    <row r="909" spans="4:11" s="41" customFormat="1">
      <c r="D909" s="51" t="s">
        <v>687</v>
      </c>
      <c r="E909" s="44"/>
      <c r="F909" s="44"/>
      <c r="G909" s="41">
        <f t="shared" si="74"/>
        <v>2645</v>
      </c>
      <c r="H909" s="45">
        <f t="shared" si="73"/>
        <v>2</v>
      </c>
      <c r="I909" s="47" t="s">
        <v>351</v>
      </c>
      <c r="J909" s="48" t="s">
        <v>33</v>
      </c>
      <c r="K909" s="41">
        <f t="shared" si="75"/>
        <v>2646</v>
      </c>
    </row>
    <row r="910" spans="4:11" s="41" customFormat="1">
      <c r="D910" s="51" t="s">
        <v>686</v>
      </c>
      <c r="E910" s="44"/>
      <c r="F910" s="44"/>
      <c r="G910" s="41">
        <f t="shared" si="74"/>
        <v>2647</v>
      </c>
      <c r="H910" s="45">
        <f t="shared" si="73"/>
        <v>2</v>
      </c>
      <c r="I910" s="47" t="s">
        <v>351</v>
      </c>
      <c r="J910" s="48" t="s">
        <v>33</v>
      </c>
      <c r="K910" s="41">
        <f t="shared" si="75"/>
        <v>2648</v>
      </c>
    </row>
    <row r="911" spans="4:11" s="41" customFormat="1">
      <c r="D911" s="51" t="s">
        <v>685</v>
      </c>
      <c r="E911" s="44"/>
      <c r="F911" s="44"/>
      <c r="G911" s="41">
        <f t="shared" si="74"/>
        <v>2649</v>
      </c>
      <c r="H911" s="45">
        <f t="shared" si="73"/>
        <v>2</v>
      </c>
      <c r="I911" s="47" t="s">
        <v>351</v>
      </c>
      <c r="J911" s="48" t="s">
        <v>33</v>
      </c>
      <c r="K911" s="41">
        <f t="shared" si="75"/>
        <v>2650</v>
      </c>
    </row>
    <row r="912" spans="4:11" s="41" customFormat="1">
      <c r="D912" s="51" t="s">
        <v>684</v>
      </c>
      <c r="E912" s="44"/>
      <c r="F912" s="44"/>
      <c r="G912" s="41">
        <f t="shared" si="74"/>
        <v>2651</v>
      </c>
      <c r="H912" s="45">
        <f t="shared" si="73"/>
        <v>2</v>
      </c>
      <c r="I912" s="47" t="s">
        <v>351</v>
      </c>
      <c r="J912" s="48" t="s">
        <v>33</v>
      </c>
      <c r="K912" s="41">
        <f t="shared" si="75"/>
        <v>2652</v>
      </c>
    </row>
    <row r="913" spans="4:11" s="41" customFormat="1">
      <c r="D913" s="51" t="s">
        <v>683</v>
      </c>
      <c r="E913" s="44"/>
      <c r="F913" s="44"/>
      <c r="G913" s="41">
        <f t="shared" si="74"/>
        <v>2653</v>
      </c>
      <c r="H913" s="45">
        <f t="shared" si="73"/>
        <v>2</v>
      </c>
      <c r="I913" s="47" t="s">
        <v>351</v>
      </c>
      <c r="J913" s="48" t="s">
        <v>33</v>
      </c>
      <c r="K913" s="41">
        <f t="shared" si="75"/>
        <v>2654</v>
      </c>
    </row>
    <row r="914" spans="4:11" s="41" customFormat="1">
      <c r="D914" s="51" t="s">
        <v>682</v>
      </c>
      <c r="E914" s="44"/>
      <c r="F914" s="44"/>
      <c r="G914" s="41">
        <f t="shared" si="74"/>
        <v>2655</v>
      </c>
      <c r="H914" s="45">
        <f t="shared" si="73"/>
        <v>2</v>
      </c>
      <c r="I914" s="47" t="s">
        <v>351</v>
      </c>
      <c r="J914" s="48" t="s">
        <v>33</v>
      </c>
      <c r="K914" s="41">
        <f t="shared" si="75"/>
        <v>2656</v>
      </c>
    </row>
    <row r="915" spans="4:11" s="41" customFormat="1">
      <c r="D915" s="51" t="s">
        <v>681</v>
      </c>
      <c r="E915" s="44"/>
      <c r="F915" s="44"/>
      <c r="G915" s="41">
        <f t="shared" si="74"/>
        <v>2657</v>
      </c>
      <c r="H915" s="45">
        <f t="shared" si="73"/>
        <v>2</v>
      </c>
      <c r="I915" s="47" t="s">
        <v>351</v>
      </c>
      <c r="J915" s="48" t="s">
        <v>33</v>
      </c>
      <c r="K915" s="41">
        <f t="shared" si="75"/>
        <v>2658</v>
      </c>
    </row>
    <row r="916" spans="4:11" s="41" customFormat="1">
      <c r="D916" s="51" t="s">
        <v>680</v>
      </c>
      <c r="E916" s="44"/>
      <c r="F916" s="44"/>
      <c r="G916" s="41">
        <f t="shared" si="74"/>
        <v>2659</v>
      </c>
      <c r="H916" s="45">
        <f t="shared" si="73"/>
        <v>2</v>
      </c>
      <c r="I916" s="47" t="s">
        <v>351</v>
      </c>
      <c r="J916" s="48" t="s">
        <v>33</v>
      </c>
      <c r="K916" s="41">
        <f t="shared" si="75"/>
        <v>2660</v>
      </c>
    </row>
    <row r="917" spans="4:11" s="41" customFormat="1">
      <c r="D917" s="51" t="s">
        <v>679</v>
      </c>
      <c r="E917" s="44"/>
      <c r="F917" s="44"/>
      <c r="G917" s="41">
        <f t="shared" si="74"/>
        <v>2661</v>
      </c>
      <c r="H917" s="45">
        <f t="shared" si="73"/>
        <v>2</v>
      </c>
      <c r="I917" s="47" t="s">
        <v>351</v>
      </c>
      <c r="J917" s="48" t="s">
        <v>33</v>
      </c>
      <c r="K917" s="41">
        <f t="shared" si="75"/>
        <v>2662</v>
      </c>
    </row>
    <row r="918" spans="4:11" s="41" customFormat="1">
      <c r="D918" s="51" t="s">
        <v>678</v>
      </c>
      <c r="E918" s="44"/>
      <c r="F918" s="44"/>
      <c r="G918" s="41">
        <f t="shared" si="74"/>
        <v>2663</v>
      </c>
      <c r="H918" s="45">
        <f t="shared" si="73"/>
        <v>2</v>
      </c>
      <c r="I918" s="47" t="s">
        <v>351</v>
      </c>
      <c r="J918" s="48" t="s">
        <v>33</v>
      </c>
      <c r="K918" s="41">
        <f t="shared" si="75"/>
        <v>2664</v>
      </c>
    </row>
    <row r="919" spans="4:11" s="41" customFormat="1">
      <c r="D919" s="51" t="s">
        <v>677</v>
      </c>
      <c r="E919" s="44"/>
      <c r="F919" s="44"/>
      <c r="G919" s="41">
        <f t="shared" si="74"/>
        <v>2665</v>
      </c>
      <c r="H919" s="45">
        <f t="shared" ref="H919:H950" si="76">K919-G919+1</f>
        <v>2</v>
      </c>
      <c r="I919" s="47" t="s">
        <v>351</v>
      </c>
      <c r="J919" s="48" t="s">
        <v>33</v>
      </c>
      <c r="K919" s="41">
        <f t="shared" si="75"/>
        <v>2666</v>
      </c>
    </row>
    <row r="920" spans="4:11" s="41" customFormat="1">
      <c r="D920" s="51" t="s">
        <v>676</v>
      </c>
      <c r="E920" s="44"/>
      <c r="F920" s="44"/>
      <c r="G920" s="41">
        <f t="shared" si="74"/>
        <v>2667</v>
      </c>
      <c r="H920" s="45">
        <f t="shared" si="76"/>
        <v>2</v>
      </c>
      <c r="I920" s="47" t="s">
        <v>351</v>
      </c>
      <c r="J920" s="48" t="s">
        <v>33</v>
      </c>
      <c r="K920" s="41">
        <f t="shared" si="75"/>
        <v>2668</v>
      </c>
    </row>
    <row r="921" spans="4:11" s="41" customFormat="1">
      <c r="D921" s="51" t="s">
        <v>675</v>
      </c>
      <c r="E921" s="44"/>
      <c r="F921" s="44"/>
      <c r="G921" s="41">
        <f t="shared" si="74"/>
        <v>2669</v>
      </c>
      <c r="H921" s="45">
        <f t="shared" si="76"/>
        <v>2</v>
      </c>
      <c r="I921" s="47" t="s">
        <v>351</v>
      </c>
      <c r="J921" s="48" t="s">
        <v>33</v>
      </c>
      <c r="K921" s="41">
        <f t="shared" si="75"/>
        <v>2670</v>
      </c>
    </row>
    <row r="922" spans="4:11" s="41" customFormat="1">
      <c r="D922" s="51" t="s">
        <v>674</v>
      </c>
      <c r="E922" s="44"/>
      <c r="F922" s="44"/>
      <c r="G922" s="41">
        <f t="shared" si="74"/>
        <v>2671</v>
      </c>
      <c r="H922" s="45">
        <f t="shared" si="76"/>
        <v>2</v>
      </c>
      <c r="I922" s="47" t="s">
        <v>351</v>
      </c>
      <c r="J922" s="48" t="s">
        <v>33</v>
      </c>
      <c r="K922" s="41">
        <f t="shared" si="75"/>
        <v>2672</v>
      </c>
    </row>
    <row r="923" spans="4:11" s="41" customFormat="1">
      <c r="D923" s="51" t="s">
        <v>673</v>
      </c>
      <c r="E923" s="44"/>
      <c r="F923" s="44"/>
      <c r="G923" s="41">
        <f t="shared" si="74"/>
        <v>2673</v>
      </c>
      <c r="H923" s="45">
        <f t="shared" si="76"/>
        <v>2</v>
      </c>
      <c r="I923" s="47" t="s">
        <v>351</v>
      </c>
      <c r="J923" s="48" t="s">
        <v>33</v>
      </c>
      <c r="K923" s="41">
        <f t="shared" si="75"/>
        <v>2674</v>
      </c>
    </row>
    <row r="924" spans="4:11" s="41" customFormat="1">
      <c r="D924" s="51" t="s">
        <v>672</v>
      </c>
      <c r="E924" s="44"/>
      <c r="F924" s="44"/>
      <c r="G924" s="41">
        <f t="shared" si="74"/>
        <v>2675</v>
      </c>
      <c r="H924" s="45">
        <f t="shared" si="76"/>
        <v>2</v>
      </c>
      <c r="I924" s="47" t="s">
        <v>351</v>
      </c>
      <c r="J924" s="48" t="s">
        <v>33</v>
      </c>
      <c r="K924" s="41">
        <f t="shared" si="75"/>
        <v>2676</v>
      </c>
    </row>
    <row r="925" spans="4:11" s="41" customFormat="1">
      <c r="D925" s="51" t="s">
        <v>671</v>
      </c>
      <c r="E925" s="44"/>
      <c r="F925" s="44"/>
      <c r="G925" s="41">
        <f t="shared" si="74"/>
        <v>2677</v>
      </c>
      <c r="H925" s="45">
        <f t="shared" si="76"/>
        <v>2</v>
      </c>
      <c r="I925" s="47" t="s">
        <v>351</v>
      </c>
      <c r="J925" s="48" t="s">
        <v>33</v>
      </c>
      <c r="K925" s="41">
        <f t="shared" si="75"/>
        <v>2678</v>
      </c>
    </row>
    <row r="926" spans="4:11" s="41" customFormat="1">
      <c r="D926" s="51" t="s">
        <v>670</v>
      </c>
      <c r="E926" s="44"/>
      <c r="F926" s="44"/>
      <c r="G926" s="41">
        <f t="shared" si="74"/>
        <v>2679</v>
      </c>
      <c r="H926" s="45">
        <f t="shared" si="76"/>
        <v>2</v>
      </c>
      <c r="I926" s="47" t="s">
        <v>351</v>
      </c>
      <c r="J926" s="48" t="s">
        <v>33</v>
      </c>
      <c r="K926" s="41">
        <f t="shared" si="75"/>
        <v>2680</v>
      </c>
    </row>
    <row r="927" spans="4:11" s="41" customFormat="1">
      <c r="D927" s="51" t="s">
        <v>669</v>
      </c>
      <c r="E927" s="44"/>
      <c r="F927" s="44"/>
      <c r="G927" s="41">
        <v>2701</v>
      </c>
      <c r="H927" s="45">
        <f t="shared" si="76"/>
        <v>2</v>
      </c>
      <c r="I927" s="47" t="s">
        <v>351</v>
      </c>
      <c r="J927" s="48" t="s">
        <v>33</v>
      </c>
      <c r="K927" s="41">
        <v>2702</v>
      </c>
    </row>
    <row r="928" spans="4:11" s="41" customFormat="1">
      <c r="D928" s="51" t="s">
        <v>668</v>
      </c>
      <c r="E928" s="44"/>
      <c r="F928" s="44"/>
      <c r="G928" s="41">
        <f t="shared" ref="G928:G966" si="77">G927+2</f>
        <v>2703</v>
      </c>
      <c r="H928" s="45">
        <f t="shared" si="76"/>
        <v>2</v>
      </c>
      <c r="I928" s="47" t="s">
        <v>351</v>
      </c>
      <c r="J928" s="48" t="s">
        <v>33</v>
      </c>
      <c r="K928" s="41">
        <f t="shared" ref="K928:K966" si="78">K927 + 2</f>
        <v>2704</v>
      </c>
    </row>
    <row r="929" spans="4:11" s="41" customFormat="1">
      <c r="D929" s="51" t="s">
        <v>667</v>
      </c>
      <c r="E929" s="44"/>
      <c r="F929" s="44"/>
      <c r="G929" s="41">
        <f t="shared" si="77"/>
        <v>2705</v>
      </c>
      <c r="H929" s="45">
        <f t="shared" si="76"/>
        <v>2</v>
      </c>
      <c r="I929" s="47" t="s">
        <v>351</v>
      </c>
      <c r="J929" s="48" t="s">
        <v>33</v>
      </c>
      <c r="K929" s="41">
        <f t="shared" si="78"/>
        <v>2706</v>
      </c>
    </row>
    <row r="930" spans="4:11" s="41" customFormat="1">
      <c r="D930" s="51" t="s">
        <v>666</v>
      </c>
      <c r="E930" s="44"/>
      <c r="F930" s="44"/>
      <c r="G930" s="41">
        <f t="shared" si="77"/>
        <v>2707</v>
      </c>
      <c r="H930" s="45">
        <f t="shared" si="76"/>
        <v>2</v>
      </c>
      <c r="I930" s="47" t="s">
        <v>351</v>
      </c>
      <c r="J930" s="48" t="s">
        <v>33</v>
      </c>
      <c r="K930" s="41">
        <f t="shared" si="78"/>
        <v>2708</v>
      </c>
    </row>
    <row r="931" spans="4:11" s="41" customFormat="1">
      <c r="D931" s="51" t="s">
        <v>665</v>
      </c>
      <c r="E931" s="44"/>
      <c r="F931" s="44"/>
      <c r="G931" s="41">
        <f t="shared" si="77"/>
        <v>2709</v>
      </c>
      <c r="H931" s="45">
        <f t="shared" si="76"/>
        <v>2</v>
      </c>
      <c r="I931" s="47" t="s">
        <v>351</v>
      </c>
      <c r="J931" s="48" t="s">
        <v>33</v>
      </c>
      <c r="K931" s="41">
        <f t="shared" si="78"/>
        <v>2710</v>
      </c>
    </row>
    <row r="932" spans="4:11" s="41" customFormat="1">
      <c r="D932" s="51" t="s">
        <v>664</v>
      </c>
      <c r="E932" s="44"/>
      <c r="F932" s="44"/>
      <c r="G932" s="41">
        <f t="shared" si="77"/>
        <v>2711</v>
      </c>
      <c r="H932" s="45">
        <f t="shared" si="76"/>
        <v>2</v>
      </c>
      <c r="I932" s="47" t="s">
        <v>351</v>
      </c>
      <c r="J932" s="48" t="s">
        <v>33</v>
      </c>
      <c r="K932" s="41">
        <f t="shared" si="78"/>
        <v>2712</v>
      </c>
    </row>
    <row r="933" spans="4:11" s="41" customFormat="1">
      <c r="D933" s="51" t="s">
        <v>663</v>
      </c>
      <c r="E933" s="44"/>
      <c r="F933" s="44"/>
      <c r="G933" s="41">
        <f t="shared" si="77"/>
        <v>2713</v>
      </c>
      <c r="H933" s="45">
        <f t="shared" si="76"/>
        <v>2</v>
      </c>
      <c r="I933" s="47" t="s">
        <v>351</v>
      </c>
      <c r="J933" s="48" t="s">
        <v>33</v>
      </c>
      <c r="K933" s="41">
        <f t="shared" si="78"/>
        <v>2714</v>
      </c>
    </row>
    <row r="934" spans="4:11" s="41" customFormat="1">
      <c r="D934" s="51" t="s">
        <v>662</v>
      </c>
      <c r="E934" s="44"/>
      <c r="F934" s="44"/>
      <c r="G934" s="41">
        <f t="shared" si="77"/>
        <v>2715</v>
      </c>
      <c r="H934" s="45">
        <f t="shared" si="76"/>
        <v>2</v>
      </c>
      <c r="I934" s="47" t="s">
        <v>351</v>
      </c>
      <c r="J934" s="48" t="s">
        <v>33</v>
      </c>
      <c r="K934" s="41">
        <f t="shared" si="78"/>
        <v>2716</v>
      </c>
    </row>
    <row r="935" spans="4:11" s="41" customFormat="1">
      <c r="D935" s="51" t="s">
        <v>661</v>
      </c>
      <c r="E935" s="44"/>
      <c r="F935" s="44"/>
      <c r="G935" s="41">
        <f t="shared" si="77"/>
        <v>2717</v>
      </c>
      <c r="H935" s="45">
        <f t="shared" si="76"/>
        <v>2</v>
      </c>
      <c r="I935" s="47" t="s">
        <v>351</v>
      </c>
      <c r="J935" s="48" t="s">
        <v>33</v>
      </c>
      <c r="K935" s="41">
        <f t="shared" si="78"/>
        <v>2718</v>
      </c>
    </row>
    <row r="936" spans="4:11" s="41" customFormat="1">
      <c r="D936" s="51" t="s">
        <v>660</v>
      </c>
      <c r="E936" s="44"/>
      <c r="F936" s="44"/>
      <c r="G936" s="41">
        <f t="shared" si="77"/>
        <v>2719</v>
      </c>
      <c r="H936" s="45">
        <f t="shared" si="76"/>
        <v>2</v>
      </c>
      <c r="I936" s="47" t="s">
        <v>351</v>
      </c>
      <c r="J936" s="48" t="s">
        <v>33</v>
      </c>
      <c r="K936" s="41">
        <f t="shared" si="78"/>
        <v>2720</v>
      </c>
    </row>
    <row r="937" spans="4:11" s="41" customFormat="1">
      <c r="D937" s="51" t="s">
        <v>659</v>
      </c>
      <c r="E937" s="44"/>
      <c r="F937" s="44"/>
      <c r="G937" s="41">
        <f t="shared" si="77"/>
        <v>2721</v>
      </c>
      <c r="H937" s="45">
        <f t="shared" si="76"/>
        <v>2</v>
      </c>
      <c r="I937" s="47" t="s">
        <v>351</v>
      </c>
      <c r="J937" s="48" t="s">
        <v>33</v>
      </c>
      <c r="K937" s="41">
        <f t="shared" si="78"/>
        <v>2722</v>
      </c>
    </row>
    <row r="938" spans="4:11" s="41" customFormat="1">
      <c r="D938" s="51" t="s">
        <v>658</v>
      </c>
      <c r="E938" s="44"/>
      <c r="F938" s="44"/>
      <c r="G938" s="41">
        <f t="shared" si="77"/>
        <v>2723</v>
      </c>
      <c r="H938" s="45">
        <f t="shared" si="76"/>
        <v>2</v>
      </c>
      <c r="I938" s="47" t="s">
        <v>351</v>
      </c>
      <c r="J938" s="48" t="s">
        <v>33</v>
      </c>
      <c r="K938" s="41">
        <f t="shared" si="78"/>
        <v>2724</v>
      </c>
    </row>
    <row r="939" spans="4:11" s="41" customFormat="1">
      <c r="D939" s="51" t="s">
        <v>657</v>
      </c>
      <c r="E939" s="44"/>
      <c r="F939" s="44"/>
      <c r="G939" s="41">
        <f t="shared" si="77"/>
        <v>2725</v>
      </c>
      <c r="H939" s="45">
        <f t="shared" si="76"/>
        <v>2</v>
      </c>
      <c r="I939" s="47" t="s">
        <v>351</v>
      </c>
      <c r="J939" s="48" t="s">
        <v>33</v>
      </c>
      <c r="K939" s="41">
        <f t="shared" si="78"/>
        <v>2726</v>
      </c>
    </row>
    <row r="940" spans="4:11" s="41" customFormat="1">
      <c r="D940" s="51" t="s">
        <v>656</v>
      </c>
      <c r="E940" s="44"/>
      <c r="F940" s="44"/>
      <c r="G940" s="41">
        <f t="shared" si="77"/>
        <v>2727</v>
      </c>
      <c r="H940" s="45">
        <f t="shared" si="76"/>
        <v>2</v>
      </c>
      <c r="I940" s="47" t="s">
        <v>351</v>
      </c>
      <c r="J940" s="48" t="s">
        <v>33</v>
      </c>
      <c r="K940" s="41">
        <f t="shared" si="78"/>
        <v>2728</v>
      </c>
    </row>
    <row r="941" spans="4:11" s="41" customFormat="1">
      <c r="D941" s="51" t="s">
        <v>655</v>
      </c>
      <c r="E941" s="44"/>
      <c r="F941" s="44"/>
      <c r="G941" s="41">
        <f t="shared" si="77"/>
        <v>2729</v>
      </c>
      <c r="H941" s="45">
        <f t="shared" si="76"/>
        <v>2</v>
      </c>
      <c r="I941" s="47" t="s">
        <v>351</v>
      </c>
      <c r="J941" s="48" t="s">
        <v>33</v>
      </c>
      <c r="K941" s="41">
        <f t="shared" si="78"/>
        <v>2730</v>
      </c>
    </row>
    <row r="942" spans="4:11" s="41" customFormat="1">
      <c r="D942" s="51" t="s">
        <v>654</v>
      </c>
      <c r="E942" s="44"/>
      <c r="F942" s="44"/>
      <c r="G942" s="41">
        <f t="shared" si="77"/>
        <v>2731</v>
      </c>
      <c r="H942" s="45">
        <f t="shared" si="76"/>
        <v>2</v>
      </c>
      <c r="I942" s="47" t="s">
        <v>351</v>
      </c>
      <c r="J942" s="48" t="s">
        <v>33</v>
      </c>
      <c r="K942" s="41">
        <f t="shared" si="78"/>
        <v>2732</v>
      </c>
    </row>
    <row r="943" spans="4:11" s="41" customFormat="1">
      <c r="D943" s="51" t="s">
        <v>653</v>
      </c>
      <c r="E943" s="44"/>
      <c r="F943" s="44"/>
      <c r="G943" s="41">
        <f t="shared" si="77"/>
        <v>2733</v>
      </c>
      <c r="H943" s="45">
        <f t="shared" si="76"/>
        <v>2</v>
      </c>
      <c r="I943" s="47" t="s">
        <v>351</v>
      </c>
      <c r="J943" s="48" t="s">
        <v>33</v>
      </c>
      <c r="K943" s="41">
        <f t="shared" si="78"/>
        <v>2734</v>
      </c>
    </row>
    <row r="944" spans="4:11" s="41" customFormat="1">
      <c r="D944" s="51" t="s">
        <v>652</v>
      </c>
      <c r="E944" s="44"/>
      <c r="F944" s="44"/>
      <c r="G944" s="41">
        <f t="shared" si="77"/>
        <v>2735</v>
      </c>
      <c r="H944" s="45">
        <f t="shared" si="76"/>
        <v>2</v>
      </c>
      <c r="I944" s="47" t="s">
        <v>351</v>
      </c>
      <c r="J944" s="48" t="s">
        <v>33</v>
      </c>
      <c r="K944" s="41">
        <f t="shared" si="78"/>
        <v>2736</v>
      </c>
    </row>
    <row r="945" spans="4:11" s="41" customFormat="1">
      <c r="D945" s="51" t="s">
        <v>651</v>
      </c>
      <c r="E945" s="44"/>
      <c r="F945" s="44"/>
      <c r="G945" s="41">
        <f t="shared" si="77"/>
        <v>2737</v>
      </c>
      <c r="H945" s="45">
        <f t="shared" si="76"/>
        <v>2</v>
      </c>
      <c r="I945" s="47" t="s">
        <v>351</v>
      </c>
      <c r="J945" s="48" t="s">
        <v>33</v>
      </c>
      <c r="K945" s="41">
        <f t="shared" si="78"/>
        <v>2738</v>
      </c>
    </row>
    <row r="946" spans="4:11" s="41" customFormat="1">
      <c r="D946" s="51" t="s">
        <v>650</v>
      </c>
      <c r="E946" s="44"/>
      <c r="F946" s="44"/>
      <c r="G946" s="41">
        <f t="shared" si="77"/>
        <v>2739</v>
      </c>
      <c r="H946" s="45">
        <f t="shared" si="76"/>
        <v>2</v>
      </c>
      <c r="I946" s="47" t="s">
        <v>351</v>
      </c>
      <c r="J946" s="48" t="s">
        <v>33</v>
      </c>
      <c r="K946" s="41">
        <f t="shared" si="78"/>
        <v>2740</v>
      </c>
    </row>
    <row r="947" spans="4:11" s="41" customFormat="1">
      <c r="D947" s="51" t="s">
        <v>649</v>
      </c>
      <c r="E947" s="44"/>
      <c r="F947" s="44"/>
      <c r="G947" s="41">
        <f t="shared" si="77"/>
        <v>2741</v>
      </c>
      <c r="H947" s="45">
        <f t="shared" si="76"/>
        <v>2</v>
      </c>
      <c r="I947" s="47" t="s">
        <v>351</v>
      </c>
      <c r="J947" s="48" t="s">
        <v>33</v>
      </c>
      <c r="K947" s="41">
        <f t="shared" si="78"/>
        <v>2742</v>
      </c>
    </row>
    <row r="948" spans="4:11" s="41" customFormat="1">
      <c r="D948" s="51" t="s">
        <v>648</v>
      </c>
      <c r="E948" s="44"/>
      <c r="F948" s="44"/>
      <c r="G948" s="41">
        <f t="shared" si="77"/>
        <v>2743</v>
      </c>
      <c r="H948" s="45">
        <f t="shared" si="76"/>
        <v>2</v>
      </c>
      <c r="I948" s="47" t="s">
        <v>351</v>
      </c>
      <c r="J948" s="48" t="s">
        <v>33</v>
      </c>
      <c r="K948" s="41">
        <f t="shared" si="78"/>
        <v>2744</v>
      </c>
    </row>
    <row r="949" spans="4:11" s="41" customFormat="1">
      <c r="D949" s="51" t="s">
        <v>647</v>
      </c>
      <c r="E949" s="44"/>
      <c r="F949" s="44"/>
      <c r="G949" s="41">
        <f t="shared" si="77"/>
        <v>2745</v>
      </c>
      <c r="H949" s="45">
        <f t="shared" si="76"/>
        <v>2</v>
      </c>
      <c r="I949" s="47" t="s">
        <v>351</v>
      </c>
      <c r="J949" s="48" t="s">
        <v>33</v>
      </c>
      <c r="K949" s="41">
        <f t="shared" si="78"/>
        <v>2746</v>
      </c>
    </row>
    <row r="950" spans="4:11" s="41" customFormat="1">
      <c r="D950" s="51" t="s">
        <v>646</v>
      </c>
      <c r="E950" s="44"/>
      <c r="F950" s="44"/>
      <c r="G950" s="41">
        <f t="shared" si="77"/>
        <v>2747</v>
      </c>
      <c r="H950" s="45">
        <f t="shared" si="76"/>
        <v>2</v>
      </c>
      <c r="I950" s="47" t="s">
        <v>351</v>
      </c>
      <c r="J950" s="48" t="s">
        <v>33</v>
      </c>
      <c r="K950" s="41">
        <f t="shared" si="78"/>
        <v>2748</v>
      </c>
    </row>
    <row r="951" spans="4:11" s="41" customFormat="1">
      <c r="D951" s="51" t="s">
        <v>645</v>
      </c>
      <c r="E951" s="44"/>
      <c r="F951" s="44"/>
      <c r="G951" s="41">
        <f t="shared" si="77"/>
        <v>2749</v>
      </c>
      <c r="H951" s="45">
        <f t="shared" ref="H951:H982" si="79">K951-G951+1</f>
        <v>2</v>
      </c>
      <c r="I951" s="47" t="s">
        <v>351</v>
      </c>
      <c r="J951" s="48" t="s">
        <v>33</v>
      </c>
      <c r="K951" s="41">
        <f t="shared" si="78"/>
        <v>2750</v>
      </c>
    </row>
    <row r="952" spans="4:11" s="41" customFormat="1">
      <c r="D952" s="51" t="s">
        <v>644</v>
      </c>
      <c r="E952" s="44"/>
      <c r="F952" s="44"/>
      <c r="G952" s="41">
        <f t="shared" si="77"/>
        <v>2751</v>
      </c>
      <c r="H952" s="45">
        <f t="shared" si="79"/>
        <v>2</v>
      </c>
      <c r="I952" s="47" t="s">
        <v>351</v>
      </c>
      <c r="J952" s="48" t="s">
        <v>33</v>
      </c>
      <c r="K952" s="41">
        <f t="shared" si="78"/>
        <v>2752</v>
      </c>
    </row>
    <row r="953" spans="4:11" s="41" customFormat="1">
      <c r="D953" s="51" t="s">
        <v>643</v>
      </c>
      <c r="E953" s="44"/>
      <c r="F953" s="44"/>
      <c r="G953" s="41">
        <f t="shared" si="77"/>
        <v>2753</v>
      </c>
      <c r="H953" s="45">
        <f t="shared" si="79"/>
        <v>2</v>
      </c>
      <c r="I953" s="47" t="s">
        <v>351</v>
      </c>
      <c r="J953" s="48" t="s">
        <v>33</v>
      </c>
      <c r="K953" s="41">
        <f t="shared" si="78"/>
        <v>2754</v>
      </c>
    </row>
    <row r="954" spans="4:11" s="41" customFormat="1">
      <c r="D954" s="51" t="s">
        <v>642</v>
      </c>
      <c r="E954" s="44"/>
      <c r="F954" s="44"/>
      <c r="G954" s="41">
        <f t="shared" si="77"/>
        <v>2755</v>
      </c>
      <c r="H954" s="45">
        <f t="shared" si="79"/>
        <v>2</v>
      </c>
      <c r="I954" s="47" t="s">
        <v>351</v>
      </c>
      <c r="J954" s="48" t="s">
        <v>33</v>
      </c>
      <c r="K954" s="41">
        <f t="shared" si="78"/>
        <v>2756</v>
      </c>
    </row>
    <row r="955" spans="4:11" s="41" customFormat="1">
      <c r="D955" s="51" t="s">
        <v>641</v>
      </c>
      <c r="E955" s="44"/>
      <c r="F955" s="44"/>
      <c r="G955" s="41">
        <f t="shared" si="77"/>
        <v>2757</v>
      </c>
      <c r="H955" s="45">
        <f t="shared" si="79"/>
        <v>2</v>
      </c>
      <c r="I955" s="47" t="s">
        <v>351</v>
      </c>
      <c r="J955" s="48" t="s">
        <v>33</v>
      </c>
      <c r="K955" s="41">
        <f t="shared" si="78"/>
        <v>2758</v>
      </c>
    </row>
    <row r="956" spans="4:11" s="41" customFormat="1">
      <c r="D956" s="51" t="s">
        <v>640</v>
      </c>
      <c r="E956" s="44"/>
      <c r="F956" s="44"/>
      <c r="G956" s="41">
        <f t="shared" si="77"/>
        <v>2759</v>
      </c>
      <c r="H956" s="45">
        <f t="shared" si="79"/>
        <v>2</v>
      </c>
      <c r="I956" s="47" t="s">
        <v>351</v>
      </c>
      <c r="J956" s="48" t="s">
        <v>33</v>
      </c>
      <c r="K956" s="41">
        <f t="shared" si="78"/>
        <v>2760</v>
      </c>
    </row>
    <row r="957" spans="4:11" s="41" customFormat="1">
      <c r="D957" s="51" t="s">
        <v>639</v>
      </c>
      <c r="E957" s="44"/>
      <c r="F957" s="44"/>
      <c r="G957" s="41">
        <f t="shared" si="77"/>
        <v>2761</v>
      </c>
      <c r="H957" s="45">
        <f t="shared" si="79"/>
        <v>2</v>
      </c>
      <c r="I957" s="47" t="s">
        <v>351</v>
      </c>
      <c r="J957" s="48" t="s">
        <v>33</v>
      </c>
      <c r="K957" s="41">
        <f t="shared" si="78"/>
        <v>2762</v>
      </c>
    </row>
    <row r="958" spans="4:11" s="41" customFormat="1">
      <c r="D958" s="51" t="s">
        <v>638</v>
      </c>
      <c r="E958" s="44"/>
      <c r="F958" s="44"/>
      <c r="G958" s="41">
        <f t="shared" si="77"/>
        <v>2763</v>
      </c>
      <c r="H958" s="45">
        <f t="shared" si="79"/>
        <v>2</v>
      </c>
      <c r="I958" s="47" t="s">
        <v>351</v>
      </c>
      <c r="J958" s="48" t="s">
        <v>33</v>
      </c>
      <c r="K958" s="41">
        <f t="shared" si="78"/>
        <v>2764</v>
      </c>
    </row>
    <row r="959" spans="4:11" s="41" customFormat="1">
      <c r="D959" s="51" t="s">
        <v>637</v>
      </c>
      <c r="E959" s="44"/>
      <c r="F959" s="44"/>
      <c r="G959" s="41">
        <f t="shared" si="77"/>
        <v>2765</v>
      </c>
      <c r="H959" s="45">
        <f t="shared" si="79"/>
        <v>2</v>
      </c>
      <c r="I959" s="47" t="s">
        <v>351</v>
      </c>
      <c r="J959" s="48" t="s">
        <v>33</v>
      </c>
      <c r="K959" s="41">
        <f t="shared" si="78"/>
        <v>2766</v>
      </c>
    </row>
    <row r="960" spans="4:11" s="41" customFormat="1">
      <c r="D960" s="51" t="s">
        <v>636</v>
      </c>
      <c r="E960" s="44"/>
      <c r="F960" s="44"/>
      <c r="G960" s="41">
        <f t="shared" si="77"/>
        <v>2767</v>
      </c>
      <c r="H960" s="45">
        <f t="shared" si="79"/>
        <v>2</v>
      </c>
      <c r="I960" s="47" t="s">
        <v>351</v>
      </c>
      <c r="J960" s="48" t="s">
        <v>33</v>
      </c>
      <c r="K960" s="41">
        <f t="shared" si="78"/>
        <v>2768</v>
      </c>
    </row>
    <row r="961" spans="4:11" s="41" customFormat="1">
      <c r="D961" s="51" t="s">
        <v>635</v>
      </c>
      <c r="E961" s="44"/>
      <c r="F961" s="44"/>
      <c r="G961" s="41">
        <f t="shared" si="77"/>
        <v>2769</v>
      </c>
      <c r="H961" s="45">
        <f t="shared" si="79"/>
        <v>2</v>
      </c>
      <c r="I961" s="47" t="s">
        <v>351</v>
      </c>
      <c r="J961" s="48" t="s">
        <v>33</v>
      </c>
      <c r="K961" s="41">
        <f t="shared" si="78"/>
        <v>2770</v>
      </c>
    </row>
    <row r="962" spans="4:11" s="41" customFormat="1">
      <c r="D962" s="51" t="s">
        <v>634</v>
      </c>
      <c r="E962" s="44"/>
      <c r="F962" s="44"/>
      <c r="G962" s="41">
        <f t="shared" si="77"/>
        <v>2771</v>
      </c>
      <c r="H962" s="45">
        <f t="shared" si="79"/>
        <v>2</v>
      </c>
      <c r="I962" s="47" t="s">
        <v>351</v>
      </c>
      <c r="J962" s="48" t="s">
        <v>33</v>
      </c>
      <c r="K962" s="41">
        <f t="shared" si="78"/>
        <v>2772</v>
      </c>
    </row>
    <row r="963" spans="4:11" s="41" customFormat="1">
      <c r="D963" s="51" t="s">
        <v>633</v>
      </c>
      <c r="E963" s="44"/>
      <c r="F963" s="44"/>
      <c r="G963" s="41">
        <f t="shared" si="77"/>
        <v>2773</v>
      </c>
      <c r="H963" s="45">
        <f t="shared" si="79"/>
        <v>2</v>
      </c>
      <c r="I963" s="47" t="s">
        <v>351</v>
      </c>
      <c r="J963" s="48" t="s">
        <v>33</v>
      </c>
      <c r="K963" s="41">
        <f t="shared" si="78"/>
        <v>2774</v>
      </c>
    </row>
    <row r="964" spans="4:11" s="41" customFormat="1">
      <c r="D964" s="51" t="s">
        <v>632</v>
      </c>
      <c r="E964" s="44"/>
      <c r="F964" s="44"/>
      <c r="G964" s="41">
        <f t="shared" si="77"/>
        <v>2775</v>
      </c>
      <c r="H964" s="45">
        <f t="shared" si="79"/>
        <v>2</v>
      </c>
      <c r="I964" s="47" t="s">
        <v>351</v>
      </c>
      <c r="J964" s="48" t="s">
        <v>33</v>
      </c>
      <c r="K964" s="41">
        <f t="shared" si="78"/>
        <v>2776</v>
      </c>
    </row>
    <row r="965" spans="4:11" s="41" customFormat="1">
      <c r="D965" s="51" t="s">
        <v>631</v>
      </c>
      <c r="E965" s="44"/>
      <c r="F965" s="44"/>
      <c r="G965" s="41">
        <f t="shared" si="77"/>
        <v>2777</v>
      </c>
      <c r="H965" s="45">
        <f t="shared" si="79"/>
        <v>2</v>
      </c>
      <c r="I965" s="47" t="s">
        <v>351</v>
      </c>
      <c r="J965" s="48" t="s">
        <v>33</v>
      </c>
      <c r="K965" s="41">
        <f t="shared" si="78"/>
        <v>2778</v>
      </c>
    </row>
    <row r="966" spans="4:11" s="41" customFormat="1">
      <c r="D966" s="51" t="s">
        <v>630</v>
      </c>
      <c r="E966" s="44"/>
      <c r="F966" s="44"/>
      <c r="G966" s="41">
        <f t="shared" si="77"/>
        <v>2779</v>
      </c>
      <c r="H966" s="45">
        <f t="shared" si="79"/>
        <v>2</v>
      </c>
      <c r="I966" s="47" t="s">
        <v>351</v>
      </c>
      <c r="J966" s="48" t="s">
        <v>33</v>
      </c>
      <c r="K966" s="41">
        <f t="shared" si="78"/>
        <v>2780</v>
      </c>
    </row>
    <row r="967" spans="4:11" s="41" customFormat="1">
      <c r="D967" s="51" t="s">
        <v>629</v>
      </c>
      <c r="E967" s="44"/>
      <c r="F967" s="44"/>
      <c r="G967" s="41">
        <v>2801</v>
      </c>
      <c r="H967" s="45">
        <f t="shared" si="79"/>
        <v>2</v>
      </c>
      <c r="I967" s="47" t="s">
        <v>351</v>
      </c>
      <c r="J967" s="48" t="s">
        <v>33</v>
      </c>
      <c r="K967" s="41">
        <v>2802</v>
      </c>
    </row>
    <row r="968" spans="4:11" s="41" customFormat="1">
      <c r="D968" s="51" t="s">
        <v>628</v>
      </c>
      <c r="E968" s="44"/>
      <c r="F968" s="44"/>
      <c r="G968" s="41">
        <f t="shared" ref="G968:G1006" si="80">G967+2</f>
        <v>2803</v>
      </c>
      <c r="H968" s="45">
        <f t="shared" si="79"/>
        <v>2</v>
      </c>
      <c r="I968" s="47" t="s">
        <v>351</v>
      </c>
      <c r="J968" s="48" t="s">
        <v>33</v>
      </c>
      <c r="K968" s="41">
        <f t="shared" ref="K968:K1006" si="81">K967 +2</f>
        <v>2804</v>
      </c>
    </row>
    <row r="969" spans="4:11" s="41" customFormat="1">
      <c r="D969" s="51" t="s">
        <v>627</v>
      </c>
      <c r="E969" s="44"/>
      <c r="F969" s="44"/>
      <c r="G969" s="41">
        <f t="shared" si="80"/>
        <v>2805</v>
      </c>
      <c r="H969" s="45">
        <f t="shared" si="79"/>
        <v>2</v>
      </c>
      <c r="I969" s="47" t="s">
        <v>351</v>
      </c>
      <c r="J969" s="48" t="s">
        <v>33</v>
      </c>
      <c r="K969" s="41">
        <f t="shared" si="81"/>
        <v>2806</v>
      </c>
    </row>
    <row r="970" spans="4:11" s="41" customFormat="1">
      <c r="D970" s="51" t="s">
        <v>626</v>
      </c>
      <c r="E970" s="44"/>
      <c r="F970" s="44"/>
      <c r="G970" s="41">
        <f t="shared" si="80"/>
        <v>2807</v>
      </c>
      <c r="H970" s="45">
        <f t="shared" si="79"/>
        <v>2</v>
      </c>
      <c r="I970" s="47" t="s">
        <v>351</v>
      </c>
      <c r="J970" s="48" t="s">
        <v>33</v>
      </c>
      <c r="K970" s="41">
        <f t="shared" si="81"/>
        <v>2808</v>
      </c>
    </row>
    <row r="971" spans="4:11" s="41" customFormat="1">
      <c r="D971" s="51" t="s">
        <v>625</v>
      </c>
      <c r="E971" s="44"/>
      <c r="F971" s="44"/>
      <c r="G971" s="41">
        <f t="shared" si="80"/>
        <v>2809</v>
      </c>
      <c r="H971" s="45">
        <f t="shared" si="79"/>
        <v>2</v>
      </c>
      <c r="I971" s="47" t="s">
        <v>351</v>
      </c>
      <c r="J971" s="48" t="s">
        <v>33</v>
      </c>
      <c r="K971" s="41">
        <f t="shared" si="81"/>
        <v>2810</v>
      </c>
    </row>
    <row r="972" spans="4:11" s="41" customFormat="1">
      <c r="D972" s="51" t="s">
        <v>624</v>
      </c>
      <c r="E972" s="44"/>
      <c r="F972" s="44"/>
      <c r="G972" s="41">
        <f t="shared" si="80"/>
        <v>2811</v>
      </c>
      <c r="H972" s="45">
        <f t="shared" si="79"/>
        <v>2</v>
      </c>
      <c r="I972" s="47" t="s">
        <v>351</v>
      </c>
      <c r="J972" s="48" t="s">
        <v>33</v>
      </c>
      <c r="K972" s="41">
        <f t="shared" si="81"/>
        <v>2812</v>
      </c>
    </row>
    <row r="973" spans="4:11" s="41" customFormat="1">
      <c r="D973" s="51" t="s">
        <v>623</v>
      </c>
      <c r="E973" s="44"/>
      <c r="F973" s="44"/>
      <c r="G973" s="41">
        <f t="shared" si="80"/>
        <v>2813</v>
      </c>
      <c r="H973" s="45">
        <f t="shared" si="79"/>
        <v>2</v>
      </c>
      <c r="I973" s="47" t="s">
        <v>351</v>
      </c>
      <c r="J973" s="48" t="s">
        <v>33</v>
      </c>
      <c r="K973" s="41">
        <f t="shared" si="81"/>
        <v>2814</v>
      </c>
    </row>
    <row r="974" spans="4:11" s="41" customFormat="1">
      <c r="D974" s="51" t="s">
        <v>622</v>
      </c>
      <c r="E974" s="44"/>
      <c r="F974" s="44"/>
      <c r="G974" s="41">
        <f t="shared" si="80"/>
        <v>2815</v>
      </c>
      <c r="H974" s="45">
        <f t="shared" si="79"/>
        <v>2</v>
      </c>
      <c r="I974" s="47" t="s">
        <v>351</v>
      </c>
      <c r="J974" s="48" t="s">
        <v>33</v>
      </c>
      <c r="K974" s="41">
        <f t="shared" si="81"/>
        <v>2816</v>
      </c>
    </row>
    <row r="975" spans="4:11" s="41" customFormat="1">
      <c r="D975" s="51" t="s">
        <v>621</v>
      </c>
      <c r="E975" s="44"/>
      <c r="F975" s="44"/>
      <c r="G975" s="41">
        <f t="shared" si="80"/>
        <v>2817</v>
      </c>
      <c r="H975" s="45">
        <f t="shared" si="79"/>
        <v>2</v>
      </c>
      <c r="I975" s="47" t="s">
        <v>351</v>
      </c>
      <c r="J975" s="48" t="s">
        <v>33</v>
      </c>
      <c r="K975" s="41">
        <f t="shared" si="81"/>
        <v>2818</v>
      </c>
    </row>
    <row r="976" spans="4:11" s="41" customFormat="1">
      <c r="D976" s="51" t="s">
        <v>620</v>
      </c>
      <c r="E976" s="44"/>
      <c r="F976" s="44"/>
      <c r="G976" s="41">
        <f t="shared" si="80"/>
        <v>2819</v>
      </c>
      <c r="H976" s="45">
        <f t="shared" si="79"/>
        <v>2</v>
      </c>
      <c r="I976" s="47" t="s">
        <v>351</v>
      </c>
      <c r="J976" s="48" t="s">
        <v>33</v>
      </c>
      <c r="K976" s="41">
        <f t="shared" si="81"/>
        <v>2820</v>
      </c>
    </row>
    <row r="977" spans="4:11" s="41" customFormat="1">
      <c r="D977" s="51" t="s">
        <v>619</v>
      </c>
      <c r="E977" s="44"/>
      <c r="F977" s="44"/>
      <c r="G977" s="41">
        <f t="shared" si="80"/>
        <v>2821</v>
      </c>
      <c r="H977" s="45">
        <f t="shared" si="79"/>
        <v>2</v>
      </c>
      <c r="I977" s="47" t="s">
        <v>351</v>
      </c>
      <c r="J977" s="48" t="s">
        <v>33</v>
      </c>
      <c r="K977" s="41">
        <f t="shared" si="81"/>
        <v>2822</v>
      </c>
    </row>
    <row r="978" spans="4:11" s="41" customFormat="1">
      <c r="D978" s="51" t="s">
        <v>618</v>
      </c>
      <c r="E978" s="44"/>
      <c r="F978" s="44"/>
      <c r="G978" s="41">
        <f t="shared" si="80"/>
        <v>2823</v>
      </c>
      <c r="H978" s="45">
        <f t="shared" si="79"/>
        <v>2</v>
      </c>
      <c r="I978" s="47" t="s">
        <v>351</v>
      </c>
      <c r="J978" s="48" t="s">
        <v>33</v>
      </c>
      <c r="K978" s="41">
        <f t="shared" si="81"/>
        <v>2824</v>
      </c>
    </row>
    <row r="979" spans="4:11" s="41" customFormat="1">
      <c r="D979" s="51" t="s">
        <v>617</v>
      </c>
      <c r="E979" s="44"/>
      <c r="F979" s="44"/>
      <c r="G979" s="41">
        <f t="shared" si="80"/>
        <v>2825</v>
      </c>
      <c r="H979" s="45">
        <f t="shared" si="79"/>
        <v>2</v>
      </c>
      <c r="I979" s="47" t="s">
        <v>351</v>
      </c>
      <c r="J979" s="48" t="s">
        <v>33</v>
      </c>
      <c r="K979" s="41">
        <f t="shared" si="81"/>
        <v>2826</v>
      </c>
    </row>
    <row r="980" spans="4:11" s="41" customFormat="1">
      <c r="D980" s="51" t="s">
        <v>616</v>
      </c>
      <c r="E980" s="44"/>
      <c r="F980" s="44"/>
      <c r="G980" s="41">
        <f t="shared" si="80"/>
        <v>2827</v>
      </c>
      <c r="H980" s="45">
        <f t="shared" si="79"/>
        <v>2</v>
      </c>
      <c r="I980" s="47" t="s">
        <v>351</v>
      </c>
      <c r="J980" s="48" t="s">
        <v>33</v>
      </c>
      <c r="K980" s="41">
        <f t="shared" si="81"/>
        <v>2828</v>
      </c>
    </row>
    <row r="981" spans="4:11" s="41" customFormat="1">
      <c r="D981" s="51" t="s">
        <v>615</v>
      </c>
      <c r="E981" s="44"/>
      <c r="F981" s="44"/>
      <c r="G981" s="41">
        <f t="shared" si="80"/>
        <v>2829</v>
      </c>
      <c r="H981" s="45">
        <f t="shared" si="79"/>
        <v>2</v>
      </c>
      <c r="I981" s="47" t="s">
        <v>351</v>
      </c>
      <c r="J981" s="48" t="s">
        <v>33</v>
      </c>
      <c r="K981" s="41">
        <f t="shared" si="81"/>
        <v>2830</v>
      </c>
    </row>
    <row r="982" spans="4:11" s="41" customFormat="1">
      <c r="D982" s="51" t="s">
        <v>614</v>
      </c>
      <c r="E982" s="44"/>
      <c r="F982" s="44"/>
      <c r="G982" s="41">
        <f t="shared" si="80"/>
        <v>2831</v>
      </c>
      <c r="H982" s="45">
        <f t="shared" si="79"/>
        <v>2</v>
      </c>
      <c r="I982" s="47" t="s">
        <v>351</v>
      </c>
      <c r="J982" s="48" t="s">
        <v>33</v>
      </c>
      <c r="K982" s="41">
        <f t="shared" si="81"/>
        <v>2832</v>
      </c>
    </row>
    <row r="983" spans="4:11" s="41" customFormat="1">
      <c r="D983" s="51" t="s">
        <v>613</v>
      </c>
      <c r="E983" s="44"/>
      <c r="F983" s="44"/>
      <c r="G983" s="41">
        <f t="shared" si="80"/>
        <v>2833</v>
      </c>
      <c r="H983" s="45">
        <f t="shared" ref="H983:H1006" si="82">K983-G983+1</f>
        <v>2</v>
      </c>
      <c r="I983" s="47" t="s">
        <v>351</v>
      </c>
      <c r="J983" s="48" t="s">
        <v>33</v>
      </c>
      <c r="K983" s="41">
        <f t="shared" si="81"/>
        <v>2834</v>
      </c>
    </row>
    <row r="984" spans="4:11" s="41" customFormat="1">
      <c r="D984" s="51" t="s">
        <v>612</v>
      </c>
      <c r="E984" s="44"/>
      <c r="F984" s="44"/>
      <c r="G984" s="41">
        <f t="shared" si="80"/>
        <v>2835</v>
      </c>
      <c r="H984" s="45">
        <f t="shared" si="82"/>
        <v>2</v>
      </c>
      <c r="I984" s="47" t="s">
        <v>351</v>
      </c>
      <c r="J984" s="48" t="s">
        <v>33</v>
      </c>
      <c r="K984" s="41">
        <f t="shared" si="81"/>
        <v>2836</v>
      </c>
    </row>
    <row r="985" spans="4:11" s="41" customFormat="1">
      <c r="D985" s="51" t="s">
        <v>611</v>
      </c>
      <c r="E985" s="44"/>
      <c r="F985" s="44"/>
      <c r="G985" s="41">
        <f t="shared" si="80"/>
        <v>2837</v>
      </c>
      <c r="H985" s="45">
        <f t="shared" si="82"/>
        <v>2</v>
      </c>
      <c r="I985" s="47" t="s">
        <v>351</v>
      </c>
      <c r="J985" s="48" t="s">
        <v>33</v>
      </c>
      <c r="K985" s="41">
        <f t="shared" si="81"/>
        <v>2838</v>
      </c>
    </row>
    <row r="986" spans="4:11" s="41" customFormat="1">
      <c r="D986" s="51" t="s">
        <v>610</v>
      </c>
      <c r="E986" s="44"/>
      <c r="F986" s="44"/>
      <c r="G986" s="41">
        <f t="shared" si="80"/>
        <v>2839</v>
      </c>
      <c r="H986" s="45">
        <f t="shared" si="82"/>
        <v>2</v>
      </c>
      <c r="I986" s="47" t="s">
        <v>351</v>
      </c>
      <c r="J986" s="48" t="s">
        <v>33</v>
      </c>
      <c r="K986" s="41">
        <f t="shared" si="81"/>
        <v>2840</v>
      </c>
    </row>
    <row r="987" spans="4:11" s="41" customFormat="1">
      <c r="D987" s="51" t="s">
        <v>609</v>
      </c>
      <c r="E987" s="44"/>
      <c r="F987" s="44"/>
      <c r="G987" s="41">
        <f t="shared" si="80"/>
        <v>2841</v>
      </c>
      <c r="H987" s="45">
        <f t="shared" si="82"/>
        <v>2</v>
      </c>
      <c r="I987" s="47" t="s">
        <v>351</v>
      </c>
      <c r="J987" s="48" t="s">
        <v>33</v>
      </c>
      <c r="K987" s="41">
        <f t="shared" si="81"/>
        <v>2842</v>
      </c>
    </row>
    <row r="988" spans="4:11" s="41" customFormat="1">
      <c r="D988" s="51" t="s">
        <v>608</v>
      </c>
      <c r="E988" s="44"/>
      <c r="F988" s="44"/>
      <c r="G988" s="41">
        <f t="shared" si="80"/>
        <v>2843</v>
      </c>
      <c r="H988" s="45">
        <f t="shared" si="82"/>
        <v>2</v>
      </c>
      <c r="I988" s="47" t="s">
        <v>351</v>
      </c>
      <c r="J988" s="48" t="s">
        <v>33</v>
      </c>
      <c r="K988" s="41">
        <f t="shared" si="81"/>
        <v>2844</v>
      </c>
    </row>
    <row r="989" spans="4:11" s="41" customFormat="1">
      <c r="D989" s="51" t="s">
        <v>607</v>
      </c>
      <c r="E989" s="44"/>
      <c r="F989" s="44"/>
      <c r="G989" s="41">
        <f t="shared" si="80"/>
        <v>2845</v>
      </c>
      <c r="H989" s="45">
        <f t="shared" si="82"/>
        <v>2</v>
      </c>
      <c r="I989" s="47" t="s">
        <v>351</v>
      </c>
      <c r="J989" s="48" t="s">
        <v>33</v>
      </c>
      <c r="K989" s="41">
        <f t="shared" si="81"/>
        <v>2846</v>
      </c>
    </row>
    <row r="990" spans="4:11" s="41" customFormat="1">
      <c r="D990" s="51" t="s">
        <v>606</v>
      </c>
      <c r="E990" s="44"/>
      <c r="F990" s="44"/>
      <c r="G990" s="41">
        <f t="shared" si="80"/>
        <v>2847</v>
      </c>
      <c r="H990" s="45">
        <f t="shared" si="82"/>
        <v>2</v>
      </c>
      <c r="I990" s="47" t="s">
        <v>351</v>
      </c>
      <c r="J990" s="48" t="s">
        <v>33</v>
      </c>
      <c r="K990" s="41">
        <f t="shared" si="81"/>
        <v>2848</v>
      </c>
    </row>
    <row r="991" spans="4:11" s="41" customFormat="1">
      <c r="D991" s="51" t="s">
        <v>605</v>
      </c>
      <c r="E991" s="44"/>
      <c r="F991" s="44"/>
      <c r="G991" s="41">
        <f t="shared" si="80"/>
        <v>2849</v>
      </c>
      <c r="H991" s="45">
        <f t="shared" si="82"/>
        <v>2</v>
      </c>
      <c r="I991" s="47" t="s">
        <v>351</v>
      </c>
      <c r="J991" s="48" t="s">
        <v>33</v>
      </c>
      <c r="K991" s="41">
        <f t="shared" si="81"/>
        <v>2850</v>
      </c>
    </row>
    <row r="992" spans="4:11" s="41" customFormat="1">
      <c r="D992" s="51" t="s">
        <v>604</v>
      </c>
      <c r="E992" s="44"/>
      <c r="F992" s="44"/>
      <c r="G992" s="41">
        <f t="shared" si="80"/>
        <v>2851</v>
      </c>
      <c r="H992" s="45">
        <f t="shared" si="82"/>
        <v>2</v>
      </c>
      <c r="I992" s="47" t="s">
        <v>351</v>
      </c>
      <c r="J992" s="48" t="s">
        <v>33</v>
      </c>
      <c r="K992" s="41">
        <f t="shared" si="81"/>
        <v>2852</v>
      </c>
    </row>
    <row r="993" spans="1:12" s="41" customFormat="1">
      <c r="D993" s="51" t="s">
        <v>603</v>
      </c>
      <c r="E993" s="44"/>
      <c r="F993" s="44"/>
      <c r="G993" s="41">
        <f t="shared" si="80"/>
        <v>2853</v>
      </c>
      <c r="H993" s="45">
        <f t="shared" si="82"/>
        <v>2</v>
      </c>
      <c r="I993" s="47" t="s">
        <v>351</v>
      </c>
      <c r="J993" s="48" t="s">
        <v>33</v>
      </c>
      <c r="K993" s="41">
        <f t="shared" si="81"/>
        <v>2854</v>
      </c>
    </row>
    <row r="994" spans="1:12" s="41" customFormat="1">
      <c r="D994" s="51" t="s">
        <v>602</v>
      </c>
      <c r="E994" s="44"/>
      <c r="F994" s="44"/>
      <c r="G994" s="41">
        <f t="shared" si="80"/>
        <v>2855</v>
      </c>
      <c r="H994" s="45">
        <f t="shared" si="82"/>
        <v>2</v>
      </c>
      <c r="I994" s="47" t="s">
        <v>351</v>
      </c>
      <c r="J994" s="48" t="s">
        <v>33</v>
      </c>
      <c r="K994" s="41">
        <f t="shared" si="81"/>
        <v>2856</v>
      </c>
    </row>
    <row r="995" spans="1:12" s="41" customFormat="1">
      <c r="D995" s="51" t="s">
        <v>601</v>
      </c>
      <c r="E995" s="44"/>
      <c r="F995" s="44"/>
      <c r="G995" s="41">
        <f t="shared" si="80"/>
        <v>2857</v>
      </c>
      <c r="H995" s="45">
        <f t="shared" si="82"/>
        <v>2</v>
      </c>
      <c r="I995" s="47" t="s">
        <v>351</v>
      </c>
      <c r="J995" s="48" t="s">
        <v>33</v>
      </c>
      <c r="K995" s="41">
        <f t="shared" si="81"/>
        <v>2858</v>
      </c>
    </row>
    <row r="996" spans="1:12" s="41" customFormat="1">
      <c r="D996" s="51" t="s">
        <v>600</v>
      </c>
      <c r="E996" s="44"/>
      <c r="F996" s="44"/>
      <c r="G996" s="41">
        <f t="shared" si="80"/>
        <v>2859</v>
      </c>
      <c r="H996" s="45">
        <f t="shared" si="82"/>
        <v>2</v>
      </c>
      <c r="I996" s="47" t="s">
        <v>351</v>
      </c>
      <c r="J996" s="48" t="s">
        <v>33</v>
      </c>
      <c r="K996" s="41">
        <f t="shared" si="81"/>
        <v>2860</v>
      </c>
    </row>
    <row r="997" spans="1:12" s="41" customFormat="1">
      <c r="D997" s="51" t="s">
        <v>599</v>
      </c>
      <c r="E997" s="44"/>
      <c r="F997" s="44"/>
      <c r="G997" s="41">
        <f t="shared" si="80"/>
        <v>2861</v>
      </c>
      <c r="H997" s="45">
        <f t="shared" si="82"/>
        <v>2</v>
      </c>
      <c r="I997" s="47" t="s">
        <v>351</v>
      </c>
      <c r="J997" s="48" t="s">
        <v>33</v>
      </c>
      <c r="K997" s="41">
        <f t="shared" si="81"/>
        <v>2862</v>
      </c>
    </row>
    <row r="998" spans="1:12" s="41" customFormat="1">
      <c r="D998" s="51" t="s">
        <v>598</v>
      </c>
      <c r="E998" s="44"/>
      <c r="F998" s="44"/>
      <c r="G998" s="41">
        <f t="shared" si="80"/>
        <v>2863</v>
      </c>
      <c r="H998" s="45">
        <f t="shared" si="82"/>
        <v>2</v>
      </c>
      <c r="I998" s="47" t="s">
        <v>351</v>
      </c>
      <c r="J998" s="48" t="s">
        <v>33</v>
      </c>
      <c r="K998" s="41">
        <f t="shared" si="81"/>
        <v>2864</v>
      </c>
    </row>
    <row r="999" spans="1:12" s="41" customFormat="1">
      <c r="D999" s="51" t="s">
        <v>597</v>
      </c>
      <c r="E999" s="44"/>
      <c r="F999" s="44"/>
      <c r="G999" s="41">
        <f t="shared" si="80"/>
        <v>2865</v>
      </c>
      <c r="H999" s="45">
        <f t="shared" si="82"/>
        <v>2</v>
      </c>
      <c r="I999" s="47" t="s">
        <v>351</v>
      </c>
      <c r="J999" s="48" t="s">
        <v>33</v>
      </c>
      <c r="K999" s="41">
        <f t="shared" si="81"/>
        <v>2866</v>
      </c>
    </row>
    <row r="1000" spans="1:12" s="41" customFormat="1">
      <c r="D1000" s="51" t="s">
        <v>596</v>
      </c>
      <c r="E1000" s="44"/>
      <c r="F1000" s="44"/>
      <c r="G1000" s="41">
        <f t="shared" si="80"/>
        <v>2867</v>
      </c>
      <c r="H1000" s="45">
        <f t="shared" si="82"/>
        <v>2</v>
      </c>
      <c r="I1000" s="47" t="s">
        <v>351</v>
      </c>
      <c r="J1000" s="48" t="s">
        <v>33</v>
      </c>
      <c r="K1000" s="41">
        <f t="shared" si="81"/>
        <v>2868</v>
      </c>
    </row>
    <row r="1001" spans="1:12" s="41" customFormat="1">
      <c r="D1001" s="51" t="s">
        <v>595</v>
      </c>
      <c r="E1001" s="44"/>
      <c r="F1001" s="44"/>
      <c r="G1001" s="41">
        <f t="shared" si="80"/>
        <v>2869</v>
      </c>
      <c r="H1001" s="45">
        <f t="shared" si="82"/>
        <v>2</v>
      </c>
      <c r="I1001" s="47" t="s">
        <v>351</v>
      </c>
      <c r="J1001" s="48" t="s">
        <v>33</v>
      </c>
      <c r="K1001" s="41">
        <f t="shared" si="81"/>
        <v>2870</v>
      </c>
    </row>
    <row r="1002" spans="1:12" s="41" customFormat="1">
      <c r="D1002" s="51" t="s">
        <v>594</v>
      </c>
      <c r="E1002" s="44"/>
      <c r="F1002" s="44"/>
      <c r="G1002" s="41">
        <f t="shared" si="80"/>
        <v>2871</v>
      </c>
      <c r="H1002" s="45">
        <f t="shared" si="82"/>
        <v>2</v>
      </c>
      <c r="I1002" s="47" t="s">
        <v>351</v>
      </c>
      <c r="J1002" s="48" t="s">
        <v>33</v>
      </c>
      <c r="K1002" s="41">
        <f t="shared" si="81"/>
        <v>2872</v>
      </c>
    </row>
    <row r="1003" spans="1:12" s="41" customFormat="1">
      <c r="D1003" s="51" t="s">
        <v>593</v>
      </c>
      <c r="E1003" s="44"/>
      <c r="F1003" s="44"/>
      <c r="G1003" s="41">
        <f t="shared" si="80"/>
        <v>2873</v>
      </c>
      <c r="H1003" s="45">
        <f t="shared" si="82"/>
        <v>2</v>
      </c>
      <c r="I1003" s="47" t="s">
        <v>351</v>
      </c>
      <c r="J1003" s="48" t="s">
        <v>33</v>
      </c>
      <c r="K1003" s="41">
        <f t="shared" si="81"/>
        <v>2874</v>
      </c>
    </row>
    <row r="1004" spans="1:12" s="41" customFormat="1">
      <c r="D1004" s="51" t="s">
        <v>592</v>
      </c>
      <c r="E1004" s="44"/>
      <c r="F1004" s="44"/>
      <c r="G1004" s="41">
        <f t="shared" si="80"/>
        <v>2875</v>
      </c>
      <c r="H1004" s="45">
        <f t="shared" si="82"/>
        <v>2</v>
      </c>
      <c r="I1004" s="47" t="s">
        <v>351</v>
      </c>
      <c r="J1004" s="48" t="s">
        <v>33</v>
      </c>
      <c r="K1004" s="41">
        <f t="shared" si="81"/>
        <v>2876</v>
      </c>
    </row>
    <row r="1005" spans="1:12" s="41" customFormat="1">
      <c r="D1005" s="51" t="s">
        <v>591</v>
      </c>
      <c r="E1005" s="44"/>
      <c r="F1005" s="44"/>
      <c r="G1005" s="41">
        <f t="shared" si="80"/>
        <v>2877</v>
      </c>
      <c r="H1005" s="45">
        <f t="shared" si="82"/>
        <v>2</v>
      </c>
      <c r="I1005" s="47" t="s">
        <v>351</v>
      </c>
      <c r="J1005" s="48" t="s">
        <v>33</v>
      </c>
      <c r="K1005" s="41">
        <f t="shared" si="81"/>
        <v>2878</v>
      </c>
    </row>
    <row r="1006" spans="1:12" s="41" customFormat="1">
      <c r="D1006" s="51" t="s">
        <v>590</v>
      </c>
      <c r="E1006" s="44"/>
      <c r="F1006" s="44"/>
      <c r="G1006" s="41">
        <f t="shared" si="80"/>
        <v>2879</v>
      </c>
      <c r="H1006" s="45">
        <f t="shared" si="82"/>
        <v>2</v>
      </c>
      <c r="I1006" s="47" t="s">
        <v>351</v>
      </c>
      <c r="J1006" s="48" t="s">
        <v>33</v>
      </c>
      <c r="K1006" s="41">
        <f t="shared" si="81"/>
        <v>2880</v>
      </c>
    </row>
    <row r="1007" spans="1:12" s="41" customFormat="1">
      <c r="D1007" s="51"/>
      <c r="E1007" s="44"/>
      <c r="F1007" s="44"/>
      <c r="H1007" s="44"/>
      <c r="I1007" s="44"/>
      <c r="J1007" s="44"/>
    </row>
    <row r="1008" spans="1:12" s="43" customFormat="1">
      <c r="A1008" s="42"/>
      <c r="B1008" s="42" t="s">
        <v>589</v>
      </c>
      <c r="C1008" s="42" t="s">
        <v>588</v>
      </c>
      <c r="D1008" s="54"/>
      <c r="E1008" s="46"/>
      <c r="F1008" s="46"/>
      <c r="G1008" s="42"/>
      <c r="H1008" s="45"/>
      <c r="I1008" s="46"/>
      <c r="J1008" s="49"/>
      <c r="K1008" s="42"/>
      <c r="L1008" s="42"/>
    </row>
    <row r="1009" spans="4:11" s="41" customFormat="1">
      <c r="D1009" s="51" t="s">
        <v>587</v>
      </c>
      <c r="E1009" s="44"/>
      <c r="F1009" s="44"/>
      <c r="G1009" s="41">
        <v>3001</v>
      </c>
      <c r="H1009" s="45">
        <f t="shared" ref="H1009:H1040" si="83">K1009-G1009+1</f>
        <v>2</v>
      </c>
      <c r="I1009" s="47" t="s">
        <v>351</v>
      </c>
      <c r="J1009" s="48" t="s">
        <v>33</v>
      </c>
      <c r="K1009" s="41">
        <v>3002</v>
      </c>
    </row>
    <row r="1010" spans="4:11" s="41" customFormat="1">
      <c r="D1010" s="51" t="s">
        <v>586</v>
      </c>
      <c r="E1010" s="44"/>
      <c r="F1010" s="44"/>
      <c r="G1010" s="41">
        <f t="shared" ref="G1010:G1048" si="84">G1009+2</f>
        <v>3003</v>
      </c>
      <c r="H1010" s="45">
        <f t="shared" si="83"/>
        <v>2</v>
      </c>
      <c r="I1010" s="47" t="s">
        <v>351</v>
      </c>
      <c r="J1010" s="48" t="s">
        <v>33</v>
      </c>
      <c r="K1010" s="41">
        <f t="shared" ref="K1010:K1048" si="85">K1009 + 2</f>
        <v>3004</v>
      </c>
    </row>
    <row r="1011" spans="4:11" s="41" customFormat="1">
      <c r="D1011" s="51" t="s">
        <v>585</v>
      </c>
      <c r="E1011" s="44"/>
      <c r="F1011" s="44"/>
      <c r="G1011" s="41">
        <f t="shared" si="84"/>
        <v>3005</v>
      </c>
      <c r="H1011" s="45">
        <f t="shared" si="83"/>
        <v>2</v>
      </c>
      <c r="I1011" s="47" t="s">
        <v>351</v>
      </c>
      <c r="J1011" s="48" t="s">
        <v>33</v>
      </c>
      <c r="K1011" s="41">
        <f t="shared" si="85"/>
        <v>3006</v>
      </c>
    </row>
    <row r="1012" spans="4:11" s="41" customFormat="1">
      <c r="D1012" s="51" t="s">
        <v>584</v>
      </c>
      <c r="E1012" s="44"/>
      <c r="F1012" s="44"/>
      <c r="G1012" s="41">
        <f t="shared" si="84"/>
        <v>3007</v>
      </c>
      <c r="H1012" s="45">
        <f t="shared" si="83"/>
        <v>2</v>
      </c>
      <c r="I1012" s="47" t="s">
        <v>351</v>
      </c>
      <c r="J1012" s="48" t="s">
        <v>33</v>
      </c>
      <c r="K1012" s="41">
        <f t="shared" si="85"/>
        <v>3008</v>
      </c>
    </row>
    <row r="1013" spans="4:11" s="41" customFormat="1">
      <c r="D1013" s="51" t="s">
        <v>583</v>
      </c>
      <c r="E1013" s="44"/>
      <c r="F1013" s="44"/>
      <c r="G1013" s="41">
        <f t="shared" si="84"/>
        <v>3009</v>
      </c>
      <c r="H1013" s="45">
        <f t="shared" si="83"/>
        <v>2</v>
      </c>
      <c r="I1013" s="47" t="s">
        <v>351</v>
      </c>
      <c r="J1013" s="48" t="s">
        <v>33</v>
      </c>
      <c r="K1013" s="41">
        <f t="shared" si="85"/>
        <v>3010</v>
      </c>
    </row>
    <row r="1014" spans="4:11" s="41" customFormat="1">
      <c r="D1014" s="51" t="s">
        <v>582</v>
      </c>
      <c r="E1014" s="44"/>
      <c r="F1014" s="44"/>
      <c r="G1014" s="41">
        <f t="shared" si="84"/>
        <v>3011</v>
      </c>
      <c r="H1014" s="45">
        <f t="shared" si="83"/>
        <v>2</v>
      </c>
      <c r="I1014" s="47" t="s">
        <v>351</v>
      </c>
      <c r="J1014" s="48" t="s">
        <v>33</v>
      </c>
      <c r="K1014" s="41">
        <f t="shared" si="85"/>
        <v>3012</v>
      </c>
    </row>
    <row r="1015" spans="4:11" s="41" customFormat="1">
      <c r="D1015" s="51" t="s">
        <v>581</v>
      </c>
      <c r="E1015" s="44"/>
      <c r="F1015" s="44"/>
      <c r="G1015" s="41">
        <f t="shared" si="84"/>
        <v>3013</v>
      </c>
      <c r="H1015" s="45">
        <f t="shared" si="83"/>
        <v>2</v>
      </c>
      <c r="I1015" s="47" t="s">
        <v>351</v>
      </c>
      <c r="J1015" s="48" t="s">
        <v>33</v>
      </c>
      <c r="K1015" s="41">
        <f t="shared" si="85"/>
        <v>3014</v>
      </c>
    </row>
    <row r="1016" spans="4:11" s="41" customFormat="1">
      <c r="D1016" s="51" t="s">
        <v>580</v>
      </c>
      <c r="E1016" s="44"/>
      <c r="F1016" s="44"/>
      <c r="G1016" s="41">
        <f t="shared" si="84"/>
        <v>3015</v>
      </c>
      <c r="H1016" s="45">
        <f t="shared" si="83"/>
        <v>2</v>
      </c>
      <c r="I1016" s="47" t="s">
        <v>351</v>
      </c>
      <c r="J1016" s="48" t="s">
        <v>33</v>
      </c>
      <c r="K1016" s="41">
        <f t="shared" si="85"/>
        <v>3016</v>
      </c>
    </row>
    <row r="1017" spans="4:11" s="41" customFormat="1">
      <c r="D1017" s="51" t="s">
        <v>579</v>
      </c>
      <c r="E1017" s="44"/>
      <c r="F1017" s="44"/>
      <c r="G1017" s="41">
        <f t="shared" si="84"/>
        <v>3017</v>
      </c>
      <c r="H1017" s="45">
        <f t="shared" si="83"/>
        <v>2</v>
      </c>
      <c r="I1017" s="47" t="s">
        <v>351</v>
      </c>
      <c r="J1017" s="48" t="s">
        <v>33</v>
      </c>
      <c r="K1017" s="41">
        <f t="shared" si="85"/>
        <v>3018</v>
      </c>
    </row>
    <row r="1018" spans="4:11" s="41" customFormat="1">
      <c r="D1018" s="51" t="s">
        <v>578</v>
      </c>
      <c r="E1018" s="44"/>
      <c r="F1018" s="44"/>
      <c r="G1018" s="41">
        <f t="shared" si="84"/>
        <v>3019</v>
      </c>
      <c r="H1018" s="45">
        <f t="shared" si="83"/>
        <v>2</v>
      </c>
      <c r="I1018" s="47" t="s">
        <v>351</v>
      </c>
      <c r="J1018" s="48" t="s">
        <v>33</v>
      </c>
      <c r="K1018" s="41">
        <f t="shared" si="85"/>
        <v>3020</v>
      </c>
    </row>
    <row r="1019" spans="4:11" s="41" customFormat="1">
      <c r="D1019" s="51" t="s">
        <v>577</v>
      </c>
      <c r="E1019" s="44"/>
      <c r="F1019" s="44"/>
      <c r="G1019" s="41">
        <f t="shared" si="84"/>
        <v>3021</v>
      </c>
      <c r="H1019" s="45">
        <f t="shared" si="83"/>
        <v>2</v>
      </c>
      <c r="I1019" s="47" t="s">
        <v>351</v>
      </c>
      <c r="J1019" s="48" t="s">
        <v>33</v>
      </c>
      <c r="K1019" s="41">
        <f t="shared" si="85"/>
        <v>3022</v>
      </c>
    </row>
    <row r="1020" spans="4:11" s="41" customFormat="1">
      <c r="D1020" s="51" t="s">
        <v>576</v>
      </c>
      <c r="E1020" s="44"/>
      <c r="F1020" s="44"/>
      <c r="G1020" s="41">
        <f t="shared" si="84"/>
        <v>3023</v>
      </c>
      <c r="H1020" s="45">
        <f t="shared" si="83"/>
        <v>2</v>
      </c>
      <c r="I1020" s="47" t="s">
        <v>351</v>
      </c>
      <c r="J1020" s="48" t="s">
        <v>33</v>
      </c>
      <c r="K1020" s="41">
        <f t="shared" si="85"/>
        <v>3024</v>
      </c>
    </row>
    <row r="1021" spans="4:11" s="41" customFormat="1">
      <c r="D1021" s="51" t="s">
        <v>575</v>
      </c>
      <c r="E1021" s="44"/>
      <c r="F1021" s="44"/>
      <c r="G1021" s="41">
        <f t="shared" si="84"/>
        <v>3025</v>
      </c>
      <c r="H1021" s="45">
        <f t="shared" si="83"/>
        <v>2</v>
      </c>
      <c r="I1021" s="47" t="s">
        <v>351</v>
      </c>
      <c r="J1021" s="48" t="s">
        <v>33</v>
      </c>
      <c r="K1021" s="41">
        <f t="shared" si="85"/>
        <v>3026</v>
      </c>
    </row>
    <row r="1022" spans="4:11" s="41" customFormat="1">
      <c r="D1022" s="51" t="s">
        <v>574</v>
      </c>
      <c r="E1022" s="44"/>
      <c r="F1022" s="44"/>
      <c r="G1022" s="41">
        <f t="shared" si="84"/>
        <v>3027</v>
      </c>
      <c r="H1022" s="45">
        <f t="shared" si="83"/>
        <v>2</v>
      </c>
      <c r="I1022" s="47" t="s">
        <v>351</v>
      </c>
      <c r="J1022" s="48" t="s">
        <v>33</v>
      </c>
      <c r="K1022" s="41">
        <f t="shared" si="85"/>
        <v>3028</v>
      </c>
    </row>
    <row r="1023" spans="4:11" s="41" customFormat="1">
      <c r="D1023" s="51" t="s">
        <v>573</v>
      </c>
      <c r="E1023" s="44"/>
      <c r="F1023" s="44"/>
      <c r="G1023" s="41">
        <f t="shared" si="84"/>
        <v>3029</v>
      </c>
      <c r="H1023" s="45">
        <f t="shared" si="83"/>
        <v>2</v>
      </c>
      <c r="I1023" s="47" t="s">
        <v>351</v>
      </c>
      <c r="J1023" s="48" t="s">
        <v>33</v>
      </c>
      <c r="K1023" s="41">
        <f t="shared" si="85"/>
        <v>3030</v>
      </c>
    </row>
    <row r="1024" spans="4:11" s="41" customFormat="1">
      <c r="D1024" s="51" t="s">
        <v>572</v>
      </c>
      <c r="E1024" s="44"/>
      <c r="F1024" s="44"/>
      <c r="G1024" s="41">
        <f t="shared" si="84"/>
        <v>3031</v>
      </c>
      <c r="H1024" s="45">
        <f t="shared" si="83"/>
        <v>2</v>
      </c>
      <c r="I1024" s="47" t="s">
        <v>351</v>
      </c>
      <c r="J1024" s="48" t="s">
        <v>33</v>
      </c>
      <c r="K1024" s="41">
        <f t="shared" si="85"/>
        <v>3032</v>
      </c>
    </row>
    <row r="1025" spans="4:11" s="41" customFormat="1">
      <c r="D1025" s="51" t="s">
        <v>571</v>
      </c>
      <c r="E1025" s="44"/>
      <c r="F1025" s="44"/>
      <c r="G1025" s="41">
        <f t="shared" si="84"/>
        <v>3033</v>
      </c>
      <c r="H1025" s="45">
        <f t="shared" si="83"/>
        <v>2</v>
      </c>
      <c r="I1025" s="47" t="s">
        <v>351</v>
      </c>
      <c r="J1025" s="48" t="s">
        <v>33</v>
      </c>
      <c r="K1025" s="41">
        <f t="shared" si="85"/>
        <v>3034</v>
      </c>
    </row>
    <row r="1026" spans="4:11" s="41" customFormat="1">
      <c r="D1026" s="51" t="s">
        <v>570</v>
      </c>
      <c r="E1026" s="44"/>
      <c r="F1026" s="44"/>
      <c r="G1026" s="41">
        <f t="shared" si="84"/>
        <v>3035</v>
      </c>
      <c r="H1026" s="45">
        <f t="shared" si="83"/>
        <v>2</v>
      </c>
      <c r="I1026" s="47" t="s">
        <v>351</v>
      </c>
      <c r="J1026" s="48" t="s">
        <v>33</v>
      </c>
      <c r="K1026" s="41">
        <f t="shared" si="85"/>
        <v>3036</v>
      </c>
    </row>
    <row r="1027" spans="4:11" s="41" customFormat="1">
      <c r="D1027" s="51" t="s">
        <v>569</v>
      </c>
      <c r="E1027" s="44"/>
      <c r="F1027" s="44"/>
      <c r="G1027" s="41">
        <f t="shared" si="84"/>
        <v>3037</v>
      </c>
      <c r="H1027" s="45">
        <f t="shared" si="83"/>
        <v>2</v>
      </c>
      <c r="I1027" s="47" t="s">
        <v>351</v>
      </c>
      <c r="J1027" s="48" t="s">
        <v>33</v>
      </c>
      <c r="K1027" s="41">
        <f t="shared" si="85"/>
        <v>3038</v>
      </c>
    </row>
    <row r="1028" spans="4:11" s="41" customFormat="1">
      <c r="D1028" s="51" t="s">
        <v>568</v>
      </c>
      <c r="E1028" s="44"/>
      <c r="F1028" s="44"/>
      <c r="G1028" s="41">
        <f t="shared" si="84"/>
        <v>3039</v>
      </c>
      <c r="H1028" s="45">
        <f t="shared" si="83"/>
        <v>2</v>
      </c>
      <c r="I1028" s="47" t="s">
        <v>351</v>
      </c>
      <c r="J1028" s="48" t="s">
        <v>33</v>
      </c>
      <c r="K1028" s="41">
        <f t="shared" si="85"/>
        <v>3040</v>
      </c>
    </row>
    <row r="1029" spans="4:11" s="41" customFormat="1">
      <c r="D1029" s="51" t="s">
        <v>567</v>
      </c>
      <c r="E1029" s="44"/>
      <c r="F1029" s="44"/>
      <c r="G1029" s="41">
        <f t="shared" si="84"/>
        <v>3041</v>
      </c>
      <c r="H1029" s="45">
        <f t="shared" si="83"/>
        <v>2</v>
      </c>
      <c r="I1029" s="47" t="s">
        <v>351</v>
      </c>
      <c r="J1029" s="48" t="s">
        <v>33</v>
      </c>
      <c r="K1029" s="41">
        <f t="shared" si="85"/>
        <v>3042</v>
      </c>
    </row>
    <row r="1030" spans="4:11" s="41" customFormat="1">
      <c r="D1030" s="51" t="s">
        <v>566</v>
      </c>
      <c r="E1030" s="44"/>
      <c r="F1030" s="44"/>
      <c r="G1030" s="41">
        <f t="shared" si="84"/>
        <v>3043</v>
      </c>
      <c r="H1030" s="45">
        <f t="shared" si="83"/>
        <v>2</v>
      </c>
      <c r="I1030" s="47" t="s">
        <v>351</v>
      </c>
      <c r="J1030" s="48" t="s">
        <v>33</v>
      </c>
      <c r="K1030" s="41">
        <f t="shared" si="85"/>
        <v>3044</v>
      </c>
    </row>
    <row r="1031" spans="4:11" s="41" customFormat="1">
      <c r="D1031" s="51" t="s">
        <v>565</v>
      </c>
      <c r="E1031" s="44"/>
      <c r="F1031" s="44"/>
      <c r="G1031" s="41">
        <f t="shared" si="84"/>
        <v>3045</v>
      </c>
      <c r="H1031" s="45">
        <f t="shared" si="83"/>
        <v>2</v>
      </c>
      <c r="I1031" s="47" t="s">
        <v>351</v>
      </c>
      <c r="J1031" s="48" t="s">
        <v>33</v>
      </c>
      <c r="K1031" s="41">
        <f t="shared" si="85"/>
        <v>3046</v>
      </c>
    </row>
    <row r="1032" spans="4:11" s="41" customFormat="1">
      <c r="D1032" s="51" t="s">
        <v>564</v>
      </c>
      <c r="E1032" s="44"/>
      <c r="F1032" s="44"/>
      <c r="G1032" s="41">
        <f t="shared" si="84"/>
        <v>3047</v>
      </c>
      <c r="H1032" s="45">
        <f t="shared" si="83"/>
        <v>2</v>
      </c>
      <c r="I1032" s="47" t="s">
        <v>351</v>
      </c>
      <c r="J1032" s="48" t="s">
        <v>33</v>
      </c>
      <c r="K1032" s="41">
        <f t="shared" si="85"/>
        <v>3048</v>
      </c>
    </row>
    <row r="1033" spans="4:11" s="41" customFormat="1">
      <c r="D1033" s="51" t="s">
        <v>563</v>
      </c>
      <c r="E1033" s="44"/>
      <c r="F1033" s="44"/>
      <c r="G1033" s="41">
        <f t="shared" si="84"/>
        <v>3049</v>
      </c>
      <c r="H1033" s="45">
        <f t="shared" si="83"/>
        <v>2</v>
      </c>
      <c r="I1033" s="47" t="s">
        <v>351</v>
      </c>
      <c r="J1033" s="48" t="s">
        <v>33</v>
      </c>
      <c r="K1033" s="41">
        <f t="shared" si="85"/>
        <v>3050</v>
      </c>
    </row>
    <row r="1034" spans="4:11" s="41" customFormat="1">
      <c r="D1034" s="51" t="s">
        <v>562</v>
      </c>
      <c r="E1034" s="44"/>
      <c r="F1034" s="44"/>
      <c r="G1034" s="41">
        <f t="shared" si="84"/>
        <v>3051</v>
      </c>
      <c r="H1034" s="45">
        <f t="shared" si="83"/>
        <v>2</v>
      </c>
      <c r="I1034" s="47" t="s">
        <v>351</v>
      </c>
      <c r="J1034" s="48" t="s">
        <v>33</v>
      </c>
      <c r="K1034" s="41">
        <f t="shared" si="85"/>
        <v>3052</v>
      </c>
    </row>
    <row r="1035" spans="4:11" s="41" customFormat="1">
      <c r="D1035" s="51" t="s">
        <v>561</v>
      </c>
      <c r="E1035" s="44"/>
      <c r="F1035" s="44"/>
      <c r="G1035" s="41">
        <f t="shared" si="84"/>
        <v>3053</v>
      </c>
      <c r="H1035" s="45">
        <f t="shared" si="83"/>
        <v>2</v>
      </c>
      <c r="I1035" s="47" t="s">
        <v>351</v>
      </c>
      <c r="J1035" s="48" t="s">
        <v>33</v>
      </c>
      <c r="K1035" s="41">
        <f t="shared" si="85"/>
        <v>3054</v>
      </c>
    </row>
    <row r="1036" spans="4:11" s="41" customFormat="1">
      <c r="D1036" s="51" t="s">
        <v>560</v>
      </c>
      <c r="E1036" s="44"/>
      <c r="F1036" s="44"/>
      <c r="G1036" s="41">
        <f t="shared" si="84"/>
        <v>3055</v>
      </c>
      <c r="H1036" s="45">
        <f t="shared" si="83"/>
        <v>2</v>
      </c>
      <c r="I1036" s="47" t="s">
        <v>351</v>
      </c>
      <c r="J1036" s="48" t="s">
        <v>33</v>
      </c>
      <c r="K1036" s="41">
        <f t="shared" si="85"/>
        <v>3056</v>
      </c>
    </row>
    <row r="1037" spans="4:11" s="41" customFormat="1">
      <c r="D1037" s="51" t="s">
        <v>559</v>
      </c>
      <c r="E1037" s="44"/>
      <c r="F1037" s="44"/>
      <c r="G1037" s="41">
        <f t="shared" si="84"/>
        <v>3057</v>
      </c>
      <c r="H1037" s="45">
        <f t="shared" si="83"/>
        <v>2</v>
      </c>
      <c r="I1037" s="47" t="s">
        <v>351</v>
      </c>
      <c r="J1037" s="48" t="s">
        <v>33</v>
      </c>
      <c r="K1037" s="41">
        <f t="shared" si="85"/>
        <v>3058</v>
      </c>
    </row>
    <row r="1038" spans="4:11" s="41" customFormat="1">
      <c r="D1038" s="51" t="s">
        <v>558</v>
      </c>
      <c r="E1038" s="44"/>
      <c r="F1038" s="44"/>
      <c r="G1038" s="41">
        <f t="shared" si="84"/>
        <v>3059</v>
      </c>
      <c r="H1038" s="45">
        <f t="shared" si="83"/>
        <v>2</v>
      </c>
      <c r="I1038" s="47" t="s">
        <v>351</v>
      </c>
      <c r="J1038" s="48" t="s">
        <v>33</v>
      </c>
      <c r="K1038" s="41">
        <f t="shared" si="85"/>
        <v>3060</v>
      </c>
    </row>
    <row r="1039" spans="4:11" s="41" customFormat="1">
      <c r="D1039" s="51" t="s">
        <v>557</v>
      </c>
      <c r="E1039" s="44"/>
      <c r="F1039" s="44"/>
      <c r="G1039" s="41">
        <f t="shared" si="84"/>
        <v>3061</v>
      </c>
      <c r="H1039" s="45">
        <f t="shared" si="83"/>
        <v>2</v>
      </c>
      <c r="I1039" s="47" t="s">
        <v>351</v>
      </c>
      <c r="J1039" s="48" t="s">
        <v>33</v>
      </c>
      <c r="K1039" s="41">
        <f t="shared" si="85"/>
        <v>3062</v>
      </c>
    </row>
    <row r="1040" spans="4:11" s="41" customFormat="1">
      <c r="D1040" s="51" t="s">
        <v>556</v>
      </c>
      <c r="E1040" s="44"/>
      <c r="F1040" s="44"/>
      <c r="G1040" s="41">
        <f t="shared" si="84"/>
        <v>3063</v>
      </c>
      <c r="H1040" s="45">
        <f t="shared" si="83"/>
        <v>2</v>
      </c>
      <c r="I1040" s="47" t="s">
        <v>351</v>
      </c>
      <c r="J1040" s="48" t="s">
        <v>33</v>
      </c>
      <c r="K1040" s="41">
        <f t="shared" si="85"/>
        <v>3064</v>
      </c>
    </row>
    <row r="1041" spans="4:11" s="41" customFormat="1">
      <c r="D1041" s="51" t="s">
        <v>555</v>
      </c>
      <c r="E1041" s="44"/>
      <c r="F1041" s="44"/>
      <c r="G1041" s="41">
        <f t="shared" si="84"/>
        <v>3065</v>
      </c>
      <c r="H1041" s="45">
        <f t="shared" ref="H1041:H1072" si="86">K1041-G1041+1</f>
        <v>2</v>
      </c>
      <c r="I1041" s="47" t="s">
        <v>351</v>
      </c>
      <c r="J1041" s="48" t="s">
        <v>33</v>
      </c>
      <c r="K1041" s="41">
        <f t="shared" si="85"/>
        <v>3066</v>
      </c>
    </row>
    <row r="1042" spans="4:11" s="41" customFormat="1">
      <c r="D1042" s="51" t="s">
        <v>554</v>
      </c>
      <c r="E1042" s="44"/>
      <c r="F1042" s="44"/>
      <c r="G1042" s="41">
        <f t="shared" si="84"/>
        <v>3067</v>
      </c>
      <c r="H1042" s="45">
        <f t="shared" si="86"/>
        <v>2</v>
      </c>
      <c r="I1042" s="47" t="s">
        <v>351</v>
      </c>
      <c r="J1042" s="48" t="s">
        <v>33</v>
      </c>
      <c r="K1042" s="41">
        <f t="shared" si="85"/>
        <v>3068</v>
      </c>
    </row>
    <row r="1043" spans="4:11" s="41" customFormat="1">
      <c r="D1043" s="51" t="s">
        <v>553</v>
      </c>
      <c r="E1043" s="44"/>
      <c r="F1043" s="44"/>
      <c r="G1043" s="41">
        <f t="shared" si="84"/>
        <v>3069</v>
      </c>
      <c r="H1043" s="45">
        <f t="shared" si="86"/>
        <v>2</v>
      </c>
      <c r="I1043" s="47" t="s">
        <v>351</v>
      </c>
      <c r="J1043" s="48" t="s">
        <v>33</v>
      </c>
      <c r="K1043" s="41">
        <f t="shared" si="85"/>
        <v>3070</v>
      </c>
    </row>
    <row r="1044" spans="4:11" s="41" customFormat="1">
      <c r="D1044" s="51" t="s">
        <v>552</v>
      </c>
      <c r="E1044" s="44"/>
      <c r="F1044" s="44"/>
      <c r="G1044" s="41">
        <f t="shared" si="84"/>
        <v>3071</v>
      </c>
      <c r="H1044" s="45">
        <f t="shared" si="86"/>
        <v>2</v>
      </c>
      <c r="I1044" s="47" t="s">
        <v>351</v>
      </c>
      <c r="J1044" s="48" t="s">
        <v>33</v>
      </c>
      <c r="K1044" s="41">
        <f t="shared" si="85"/>
        <v>3072</v>
      </c>
    </row>
    <row r="1045" spans="4:11" s="41" customFormat="1">
      <c r="D1045" s="51" t="s">
        <v>551</v>
      </c>
      <c r="E1045" s="44"/>
      <c r="F1045" s="44"/>
      <c r="G1045" s="41">
        <f t="shared" si="84"/>
        <v>3073</v>
      </c>
      <c r="H1045" s="45">
        <f t="shared" si="86"/>
        <v>2</v>
      </c>
      <c r="I1045" s="47" t="s">
        <v>351</v>
      </c>
      <c r="J1045" s="48" t="s">
        <v>33</v>
      </c>
      <c r="K1045" s="41">
        <f t="shared" si="85"/>
        <v>3074</v>
      </c>
    </row>
    <row r="1046" spans="4:11" s="41" customFormat="1">
      <c r="D1046" s="51" t="s">
        <v>550</v>
      </c>
      <c r="E1046" s="44"/>
      <c r="F1046" s="44"/>
      <c r="G1046" s="41">
        <f t="shared" si="84"/>
        <v>3075</v>
      </c>
      <c r="H1046" s="45">
        <f t="shared" si="86"/>
        <v>2</v>
      </c>
      <c r="I1046" s="47" t="s">
        <v>351</v>
      </c>
      <c r="J1046" s="48" t="s">
        <v>33</v>
      </c>
      <c r="K1046" s="41">
        <f t="shared" si="85"/>
        <v>3076</v>
      </c>
    </row>
    <row r="1047" spans="4:11" s="41" customFormat="1">
      <c r="D1047" s="51" t="s">
        <v>549</v>
      </c>
      <c r="E1047" s="44"/>
      <c r="F1047" s="44"/>
      <c r="G1047" s="41">
        <f t="shared" si="84"/>
        <v>3077</v>
      </c>
      <c r="H1047" s="45">
        <f t="shared" si="86"/>
        <v>2</v>
      </c>
      <c r="I1047" s="47" t="s">
        <v>351</v>
      </c>
      <c r="J1047" s="48" t="s">
        <v>33</v>
      </c>
      <c r="K1047" s="41">
        <f t="shared" si="85"/>
        <v>3078</v>
      </c>
    </row>
    <row r="1048" spans="4:11" s="41" customFormat="1">
      <c r="D1048" s="51" t="s">
        <v>548</v>
      </c>
      <c r="E1048" s="44"/>
      <c r="F1048" s="44"/>
      <c r="G1048" s="41">
        <f t="shared" si="84"/>
        <v>3079</v>
      </c>
      <c r="H1048" s="45">
        <f t="shared" si="86"/>
        <v>2</v>
      </c>
      <c r="I1048" s="47" t="s">
        <v>351</v>
      </c>
      <c r="J1048" s="48" t="s">
        <v>33</v>
      </c>
      <c r="K1048" s="41">
        <f t="shared" si="85"/>
        <v>3080</v>
      </c>
    </row>
    <row r="1049" spans="4:11" s="41" customFormat="1">
      <c r="D1049" s="51" t="s">
        <v>547</v>
      </c>
      <c r="E1049" s="44"/>
      <c r="F1049" s="44"/>
      <c r="G1049" s="41">
        <v>3101</v>
      </c>
      <c r="H1049" s="45">
        <f t="shared" si="86"/>
        <v>2</v>
      </c>
      <c r="I1049" s="47" t="s">
        <v>351</v>
      </c>
      <c r="J1049" s="48" t="s">
        <v>33</v>
      </c>
      <c r="K1049" s="41">
        <v>3102</v>
      </c>
    </row>
    <row r="1050" spans="4:11" s="41" customFormat="1">
      <c r="D1050" s="51" t="s">
        <v>546</v>
      </c>
      <c r="E1050" s="44"/>
      <c r="F1050" s="44"/>
      <c r="G1050" s="41">
        <f t="shared" ref="G1050:G1088" si="87">G1049+2</f>
        <v>3103</v>
      </c>
      <c r="H1050" s="45">
        <f t="shared" si="86"/>
        <v>2</v>
      </c>
      <c r="I1050" s="47" t="s">
        <v>351</v>
      </c>
      <c r="J1050" s="48" t="s">
        <v>33</v>
      </c>
      <c r="K1050" s="41">
        <f t="shared" ref="K1050:K1088" si="88">K1049 + 2</f>
        <v>3104</v>
      </c>
    </row>
    <row r="1051" spans="4:11" s="41" customFormat="1">
      <c r="D1051" s="51" t="s">
        <v>545</v>
      </c>
      <c r="E1051" s="44"/>
      <c r="F1051" s="44"/>
      <c r="G1051" s="41">
        <f t="shared" si="87"/>
        <v>3105</v>
      </c>
      <c r="H1051" s="45">
        <f t="shared" si="86"/>
        <v>2</v>
      </c>
      <c r="I1051" s="47" t="s">
        <v>351</v>
      </c>
      <c r="J1051" s="48" t="s">
        <v>33</v>
      </c>
      <c r="K1051" s="41">
        <f t="shared" si="88"/>
        <v>3106</v>
      </c>
    </row>
    <row r="1052" spans="4:11" s="41" customFormat="1">
      <c r="D1052" s="51" t="s">
        <v>544</v>
      </c>
      <c r="E1052" s="44"/>
      <c r="F1052" s="44"/>
      <c r="G1052" s="41">
        <f t="shared" si="87"/>
        <v>3107</v>
      </c>
      <c r="H1052" s="45">
        <f t="shared" si="86"/>
        <v>2</v>
      </c>
      <c r="I1052" s="47" t="s">
        <v>351</v>
      </c>
      <c r="J1052" s="48" t="s">
        <v>33</v>
      </c>
      <c r="K1052" s="41">
        <f t="shared" si="88"/>
        <v>3108</v>
      </c>
    </row>
    <row r="1053" spans="4:11" s="41" customFormat="1">
      <c r="D1053" s="51" t="s">
        <v>543</v>
      </c>
      <c r="E1053" s="44"/>
      <c r="F1053" s="44"/>
      <c r="G1053" s="41">
        <f t="shared" si="87"/>
        <v>3109</v>
      </c>
      <c r="H1053" s="45">
        <f t="shared" si="86"/>
        <v>2</v>
      </c>
      <c r="I1053" s="47" t="s">
        <v>351</v>
      </c>
      <c r="J1053" s="48" t="s">
        <v>33</v>
      </c>
      <c r="K1053" s="41">
        <f t="shared" si="88"/>
        <v>3110</v>
      </c>
    </row>
    <row r="1054" spans="4:11" s="41" customFormat="1">
      <c r="D1054" s="51" t="s">
        <v>542</v>
      </c>
      <c r="E1054" s="44"/>
      <c r="F1054" s="44"/>
      <c r="G1054" s="41">
        <f t="shared" si="87"/>
        <v>3111</v>
      </c>
      <c r="H1054" s="45">
        <f t="shared" si="86"/>
        <v>2</v>
      </c>
      <c r="I1054" s="47" t="s">
        <v>351</v>
      </c>
      <c r="J1054" s="48" t="s">
        <v>33</v>
      </c>
      <c r="K1054" s="41">
        <f t="shared" si="88"/>
        <v>3112</v>
      </c>
    </row>
    <row r="1055" spans="4:11" s="41" customFormat="1">
      <c r="D1055" s="51" t="s">
        <v>541</v>
      </c>
      <c r="E1055" s="44"/>
      <c r="F1055" s="44"/>
      <c r="G1055" s="41">
        <f t="shared" si="87"/>
        <v>3113</v>
      </c>
      <c r="H1055" s="45">
        <f t="shared" si="86"/>
        <v>2</v>
      </c>
      <c r="I1055" s="47" t="s">
        <v>351</v>
      </c>
      <c r="J1055" s="48" t="s">
        <v>33</v>
      </c>
      <c r="K1055" s="41">
        <f t="shared" si="88"/>
        <v>3114</v>
      </c>
    </row>
    <row r="1056" spans="4:11" s="41" customFormat="1">
      <c r="D1056" s="51" t="s">
        <v>540</v>
      </c>
      <c r="E1056" s="44"/>
      <c r="F1056" s="44"/>
      <c r="G1056" s="41">
        <f t="shared" si="87"/>
        <v>3115</v>
      </c>
      <c r="H1056" s="45">
        <f t="shared" si="86"/>
        <v>2</v>
      </c>
      <c r="I1056" s="47" t="s">
        <v>351</v>
      </c>
      <c r="J1056" s="48" t="s">
        <v>33</v>
      </c>
      <c r="K1056" s="41">
        <f t="shared" si="88"/>
        <v>3116</v>
      </c>
    </row>
    <row r="1057" spans="4:11" s="41" customFormat="1">
      <c r="D1057" s="51" t="s">
        <v>539</v>
      </c>
      <c r="E1057" s="44"/>
      <c r="F1057" s="44"/>
      <c r="G1057" s="41">
        <f t="shared" si="87"/>
        <v>3117</v>
      </c>
      <c r="H1057" s="45">
        <f t="shared" si="86"/>
        <v>2</v>
      </c>
      <c r="I1057" s="47" t="s">
        <v>351</v>
      </c>
      <c r="J1057" s="48" t="s">
        <v>33</v>
      </c>
      <c r="K1057" s="41">
        <f t="shared" si="88"/>
        <v>3118</v>
      </c>
    </row>
    <row r="1058" spans="4:11" s="41" customFormat="1">
      <c r="D1058" s="51" t="s">
        <v>538</v>
      </c>
      <c r="E1058" s="44"/>
      <c r="F1058" s="44"/>
      <c r="G1058" s="41">
        <f t="shared" si="87"/>
        <v>3119</v>
      </c>
      <c r="H1058" s="45">
        <f t="shared" si="86"/>
        <v>2</v>
      </c>
      <c r="I1058" s="47" t="s">
        <v>351</v>
      </c>
      <c r="J1058" s="48" t="s">
        <v>33</v>
      </c>
      <c r="K1058" s="41">
        <f t="shared" si="88"/>
        <v>3120</v>
      </c>
    </row>
    <row r="1059" spans="4:11" s="41" customFormat="1">
      <c r="D1059" s="51" t="s">
        <v>537</v>
      </c>
      <c r="E1059" s="44"/>
      <c r="F1059" s="44"/>
      <c r="G1059" s="41">
        <f t="shared" si="87"/>
        <v>3121</v>
      </c>
      <c r="H1059" s="45">
        <f t="shared" si="86"/>
        <v>2</v>
      </c>
      <c r="I1059" s="47" t="s">
        <v>351</v>
      </c>
      <c r="J1059" s="48" t="s">
        <v>33</v>
      </c>
      <c r="K1059" s="41">
        <f t="shared" si="88"/>
        <v>3122</v>
      </c>
    </row>
    <row r="1060" spans="4:11" s="41" customFormat="1">
      <c r="D1060" s="51" t="s">
        <v>536</v>
      </c>
      <c r="E1060" s="44"/>
      <c r="F1060" s="44"/>
      <c r="G1060" s="41">
        <f t="shared" si="87"/>
        <v>3123</v>
      </c>
      <c r="H1060" s="45">
        <f t="shared" si="86"/>
        <v>2</v>
      </c>
      <c r="I1060" s="47" t="s">
        <v>351</v>
      </c>
      <c r="J1060" s="48" t="s">
        <v>33</v>
      </c>
      <c r="K1060" s="41">
        <f t="shared" si="88"/>
        <v>3124</v>
      </c>
    </row>
    <row r="1061" spans="4:11" s="41" customFormat="1">
      <c r="D1061" s="51" t="s">
        <v>535</v>
      </c>
      <c r="E1061" s="44"/>
      <c r="F1061" s="44"/>
      <c r="G1061" s="41">
        <f t="shared" si="87"/>
        <v>3125</v>
      </c>
      <c r="H1061" s="45">
        <f t="shared" si="86"/>
        <v>2</v>
      </c>
      <c r="I1061" s="47" t="s">
        <v>351</v>
      </c>
      <c r="J1061" s="48" t="s">
        <v>33</v>
      </c>
      <c r="K1061" s="41">
        <f t="shared" si="88"/>
        <v>3126</v>
      </c>
    </row>
    <row r="1062" spans="4:11" s="41" customFormat="1">
      <c r="D1062" s="51" t="s">
        <v>534</v>
      </c>
      <c r="E1062" s="44"/>
      <c r="F1062" s="44"/>
      <c r="G1062" s="41">
        <f t="shared" si="87"/>
        <v>3127</v>
      </c>
      <c r="H1062" s="45">
        <f t="shared" si="86"/>
        <v>2</v>
      </c>
      <c r="I1062" s="47" t="s">
        <v>351</v>
      </c>
      <c r="J1062" s="48" t="s">
        <v>33</v>
      </c>
      <c r="K1062" s="41">
        <f t="shared" si="88"/>
        <v>3128</v>
      </c>
    </row>
    <row r="1063" spans="4:11" s="41" customFormat="1">
      <c r="D1063" s="51" t="s">
        <v>533</v>
      </c>
      <c r="E1063" s="44"/>
      <c r="F1063" s="44"/>
      <c r="G1063" s="41">
        <f t="shared" si="87"/>
        <v>3129</v>
      </c>
      <c r="H1063" s="45">
        <f t="shared" si="86"/>
        <v>2</v>
      </c>
      <c r="I1063" s="47" t="s">
        <v>351</v>
      </c>
      <c r="J1063" s="48" t="s">
        <v>33</v>
      </c>
      <c r="K1063" s="41">
        <f t="shared" si="88"/>
        <v>3130</v>
      </c>
    </row>
    <row r="1064" spans="4:11" s="41" customFormat="1">
      <c r="D1064" s="51" t="s">
        <v>532</v>
      </c>
      <c r="E1064" s="44"/>
      <c r="F1064" s="44"/>
      <c r="G1064" s="41">
        <f t="shared" si="87"/>
        <v>3131</v>
      </c>
      <c r="H1064" s="45">
        <f t="shared" si="86"/>
        <v>2</v>
      </c>
      <c r="I1064" s="47" t="s">
        <v>351</v>
      </c>
      <c r="J1064" s="48" t="s">
        <v>33</v>
      </c>
      <c r="K1064" s="41">
        <f t="shared" si="88"/>
        <v>3132</v>
      </c>
    </row>
    <row r="1065" spans="4:11" s="41" customFormat="1">
      <c r="D1065" s="51" t="s">
        <v>531</v>
      </c>
      <c r="E1065" s="44"/>
      <c r="F1065" s="44"/>
      <c r="G1065" s="41">
        <f t="shared" si="87"/>
        <v>3133</v>
      </c>
      <c r="H1065" s="45">
        <f t="shared" si="86"/>
        <v>2</v>
      </c>
      <c r="I1065" s="47" t="s">
        <v>351</v>
      </c>
      <c r="J1065" s="48" t="s">
        <v>33</v>
      </c>
      <c r="K1065" s="41">
        <f t="shared" si="88"/>
        <v>3134</v>
      </c>
    </row>
    <row r="1066" spans="4:11" s="41" customFormat="1">
      <c r="D1066" s="51" t="s">
        <v>530</v>
      </c>
      <c r="E1066" s="44"/>
      <c r="F1066" s="44"/>
      <c r="G1066" s="41">
        <f t="shared" si="87"/>
        <v>3135</v>
      </c>
      <c r="H1066" s="45">
        <f t="shared" si="86"/>
        <v>2</v>
      </c>
      <c r="I1066" s="47" t="s">
        <v>351</v>
      </c>
      <c r="J1066" s="48" t="s">
        <v>33</v>
      </c>
      <c r="K1066" s="41">
        <f t="shared" si="88"/>
        <v>3136</v>
      </c>
    </row>
    <row r="1067" spans="4:11" s="41" customFormat="1">
      <c r="D1067" s="51" t="s">
        <v>529</v>
      </c>
      <c r="E1067" s="44"/>
      <c r="F1067" s="44"/>
      <c r="G1067" s="41">
        <f t="shared" si="87"/>
        <v>3137</v>
      </c>
      <c r="H1067" s="45">
        <f t="shared" si="86"/>
        <v>2</v>
      </c>
      <c r="I1067" s="47" t="s">
        <v>351</v>
      </c>
      <c r="J1067" s="48" t="s">
        <v>33</v>
      </c>
      <c r="K1067" s="41">
        <f t="shared" si="88"/>
        <v>3138</v>
      </c>
    </row>
    <row r="1068" spans="4:11" s="41" customFormat="1">
      <c r="D1068" s="51" t="s">
        <v>528</v>
      </c>
      <c r="E1068" s="44"/>
      <c r="F1068" s="44"/>
      <c r="G1068" s="41">
        <f t="shared" si="87"/>
        <v>3139</v>
      </c>
      <c r="H1068" s="45">
        <f t="shared" si="86"/>
        <v>2</v>
      </c>
      <c r="I1068" s="47" t="s">
        <v>351</v>
      </c>
      <c r="J1068" s="48" t="s">
        <v>33</v>
      </c>
      <c r="K1068" s="41">
        <f t="shared" si="88"/>
        <v>3140</v>
      </c>
    </row>
    <row r="1069" spans="4:11" s="41" customFormat="1">
      <c r="D1069" s="51" t="s">
        <v>527</v>
      </c>
      <c r="E1069" s="44"/>
      <c r="F1069" s="44"/>
      <c r="G1069" s="41">
        <f t="shared" si="87"/>
        <v>3141</v>
      </c>
      <c r="H1069" s="45">
        <f t="shared" si="86"/>
        <v>2</v>
      </c>
      <c r="I1069" s="47" t="s">
        <v>351</v>
      </c>
      <c r="J1069" s="48" t="s">
        <v>33</v>
      </c>
      <c r="K1069" s="41">
        <f t="shared" si="88"/>
        <v>3142</v>
      </c>
    </row>
    <row r="1070" spans="4:11" s="41" customFormat="1">
      <c r="D1070" s="51" t="s">
        <v>526</v>
      </c>
      <c r="E1070" s="44"/>
      <c r="F1070" s="44"/>
      <c r="G1070" s="41">
        <f t="shared" si="87"/>
        <v>3143</v>
      </c>
      <c r="H1070" s="45">
        <f t="shared" si="86"/>
        <v>2</v>
      </c>
      <c r="I1070" s="47" t="s">
        <v>351</v>
      </c>
      <c r="J1070" s="48" t="s">
        <v>33</v>
      </c>
      <c r="K1070" s="41">
        <f t="shared" si="88"/>
        <v>3144</v>
      </c>
    </row>
    <row r="1071" spans="4:11" s="41" customFormat="1">
      <c r="D1071" s="51" t="s">
        <v>525</v>
      </c>
      <c r="E1071" s="44"/>
      <c r="F1071" s="44"/>
      <c r="G1071" s="41">
        <f t="shared" si="87"/>
        <v>3145</v>
      </c>
      <c r="H1071" s="45">
        <f t="shared" si="86"/>
        <v>2</v>
      </c>
      <c r="I1071" s="47" t="s">
        <v>351</v>
      </c>
      <c r="J1071" s="48" t="s">
        <v>33</v>
      </c>
      <c r="K1071" s="41">
        <f t="shared" si="88"/>
        <v>3146</v>
      </c>
    </row>
    <row r="1072" spans="4:11" s="41" customFormat="1">
      <c r="D1072" s="51" t="s">
        <v>524</v>
      </c>
      <c r="E1072" s="44"/>
      <c r="F1072" s="44"/>
      <c r="G1072" s="41">
        <f t="shared" si="87"/>
        <v>3147</v>
      </c>
      <c r="H1072" s="45">
        <f t="shared" si="86"/>
        <v>2</v>
      </c>
      <c r="I1072" s="47" t="s">
        <v>351</v>
      </c>
      <c r="J1072" s="48" t="s">
        <v>33</v>
      </c>
      <c r="K1072" s="41">
        <f t="shared" si="88"/>
        <v>3148</v>
      </c>
    </row>
    <row r="1073" spans="4:11" s="41" customFormat="1">
      <c r="D1073" s="51" t="s">
        <v>523</v>
      </c>
      <c r="E1073" s="44"/>
      <c r="F1073" s="44"/>
      <c r="G1073" s="41">
        <f t="shared" si="87"/>
        <v>3149</v>
      </c>
      <c r="H1073" s="45">
        <f t="shared" ref="H1073:H1104" si="89">K1073-G1073+1</f>
        <v>2</v>
      </c>
      <c r="I1073" s="47" t="s">
        <v>351</v>
      </c>
      <c r="J1073" s="48" t="s">
        <v>33</v>
      </c>
      <c r="K1073" s="41">
        <f t="shared" si="88"/>
        <v>3150</v>
      </c>
    </row>
    <row r="1074" spans="4:11" s="41" customFormat="1">
      <c r="D1074" s="51" t="s">
        <v>522</v>
      </c>
      <c r="E1074" s="44"/>
      <c r="F1074" s="44"/>
      <c r="G1074" s="41">
        <f t="shared" si="87"/>
        <v>3151</v>
      </c>
      <c r="H1074" s="45">
        <f t="shared" si="89"/>
        <v>2</v>
      </c>
      <c r="I1074" s="47" t="s">
        <v>351</v>
      </c>
      <c r="J1074" s="48" t="s">
        <v>33</v>
      </c>
      <c r="K1074" s="41">
        <f t="shared" si="88"/>
        <v>3152</v>
      </c>
    </row>
    <row r="1075" spans="4:11" s="41" customFormat="1">
      <c r="D1075" s="51" t="s">
        <v>521</v>
      </c>
      <c r="E1075" s="44"/>
      <c r="F1075" s="44"/>
      <c r="G1075" s="41">
        <f t="shared" si="87"/>
        <v>3153</v>
      </c>
      <c r="H1075" s="45">
        <f t="shared" si="89"/>
        <v>2</v>
      </c>
      <c r="I1075" s="47" t="s">
        <v>351</v>
      </c>
      <c r="J1075" s="48" t="s">
        <v>33</v>
      </c>
      <c r="K1075" s="41">
        <f t="shared" si="88"/>
        <v>3154</v>
      </c>
    </row>
    <row r="1076" spans="4:11" s="41" customFormat="1">
      <c r="D1076" s="51" t="s">
        <v>520</v>
      </c>
      <c r="E1076" s="44"/>
      <c r="F1076" s="44"/>
      <c r="G1076" s="41">
        <f t="shared" si="87"/>
        <v>3155</v>
      </c>
      <c r="H1076" s="45">
        <f t="shared" si="89"/>
        <v>2</v>
      </c>
      <c r="I1076" s="47" t="s">
        <v>351</v>
      </c>
      <c r="J1076" s="48" t="s">
        <v>33</v>
      </c>
      <c r="K1076" s="41">
        <f t="shared" si="88"/>
        <v>3156</v>
      </c>
    </row>
    <row r="1077" spans="4:11" s="41" customFormat="1">
      <c r="D1077" s="51" t="s">
        <v>519</v>
      </c>
      <c r="E1077" s="44"/>
      <c r="F1077" s="44"/>
      <c r="G1077" s="41">
        <f t="shared" si="87"/>
        <v>3157</v>
      </c>
      <c r="H1077" s="45">
        <f t="shared" si="89"/>
        <v>2</v>
      </c>
      <c r="I1077" s="47" t="s">
        <v>351</v>
      </c>
      <c r="J1077" s="48" t="s">
        <v>33</v>
      </c>
      <c r="K1077" s="41">
        <f t="shared" si="88"/>
        <v>3158</v>
      </c>
    </row>
    <row r="1078" spans="4:11" s="41" customFormat="1">
      <c r="D1078" s="51" t="s">
        <v>518</v>
      </c>
      <c r="E1078" s="44"/>
      <c r="F1078" s="44"/>
      <c r="G1078" s="41">
        <f t="shared" si="87"/>
        <v>3159</v>
      </c>
      <c r="H1078" s="45">
        <f t="shared" si="89"/>
        <v>2</v>
      </c>
      <c r="I1078" s="47" t="s">
        <v>351</v>
      </c>
      <c r="J1078" s="48" t="s">
        <v>33</v>
      </c>
      <c r="K1078" s="41">
        <f t="shared" si="88"/>
        <v>3160</v>
      </c>
    </row>
    <row r="1079" spans="4:11" s="41" customFormat="1">
      <c r="D1079" s="51" t="s">
        <v>517</v>
      </c>
      <c r="E1079" s="44"/>
      <c r="F1079" s="44"/>
      <c r="G1079" s="41">
        <f t="shared" si="87"/>
        <v>3161</v>
      </c>
      <c r="H1079" s="45">
        <f t="shared" si="89"/>
        <v>2</v>
      </c>
      <c r="I1079" s="47" t="s">
        <v>351</v>
      </c>
      <c r="J1079" s="48" t="s">
        <v>33</v>
      </c>
      <c r="K1079" s="41">
        <f t="shared" si="88"/>
        <v>3162</v>
      </c>
    </row>
    <row r="1080" spans="4:11" s="41" customFormat="1">
      <c r="D1080" s="51" t="s">
        <v>516</v>
      </c>
      <c r="E1080" s="44"/>
      <c r="F1080" s="44"/>
      <c r="G1080" s="41">
        <f t="shared" si="87"/>
        <v>3163</v>
      </c>
      <c r="H1080" s="45">
        <f t="shared" si="89"/>
        <v>2</v>
      </c>
      <c r="I1080" s="47" t="s">
        <v>351</v>
      </c>
      <c r="J1080" s="48" t="s">
        <v>33</v>
      </c>
      <c r="K1080" s="41">
        <f t="shared" si="88"/>
        <v>3164</v>
      </c>
    </row>
    <row r="1081" spans="4:11" s="41" customFormat="1">
      <c r="D1081" s="51" t="s">
        <v>515</v>
      </c>
      <c r="E1081" s="44"/>
      <c r="F1081" s="44"/>
      <c r="G1081" s="41">
        <f t="shared" si="87"/>
        <v>3165</v>
      </c>
      <c r="H1081" s="45">
        <f t="shared" si="89"/>
        <v>2</v>
      </c>
      <c r="I1081" s="47" t="s">
        <v>351</v>
      </c>
      <c r="J1081" s="48" t="s">
        <v>33</v>
      </c>
      <c r="K1081" s="41">
        <f t="shared" si="88"/>
        <v>3166</v>
      </c>
    </row>
    <row r="1082" spans="4:11" s="41" customFormat="1">
      <c r="D1082" s="51" t="s">
        <v>514</v>
      </c>
      <c r="E1082" s="44"/>
      <c r="F1082" s="44"/>
      <c r="G1082" s="41">
        <f t="shared" si="87"/>
        <v>3167</v>
      </c>
      <c r="H1082" s="45">
        <f t="shared" si="89"/>
        <v>2</v>
      </c>
      <c r="I1082" s="47" t="s">
        <v>351</v>
      </c>
      <c r="J1082" s="48" t="s">
        <v>33</v>
      </c>
      <c r="K1082" s="41">
        <f t="shared" si="88"/>
        <v>3168</v>
      </c>
    </row>
    <row r="1083" spans="4:11" s="41" customFormat="1">
      <c r="D1083" s="51" t="s">
        <v>513</v>
      </c>
      <c r="E1083" s="44"/>
      <c r="F1083" s="44"/>
      <c r="G1083" s="41">
        <f t="shared" si="87"/>
        <v>3169</v>
      </c>
      <c r="H1083" s="45">
        <f t="shared" si="89"/>
        <v>2</v>
      </c>
      <c r="I1083" s="47" t="s">
        <v>351</v>
      </c>
      <c r="J1083" s="48" t="s">
        <v>33</v>
      </c>
      <c r="K1083" s="41">
        <f t="shared" si="88"/>
        <v>3170</v>
      </c>
    </row>
    <row r="1084" spans="4:11" s="41" customFormat="1">
      <c r="D1084" s="51" t="s">
        <v>512</v>
      </c>
      <c r="E1084" s="44"/>
      <c r="F1084" s="44"/>
      <c r="G1084" s="41">
        <f t="shared" si="87"/>
        <v>3171</v>
      </c>
      <c r="H1084" s="45">
        <f t="shared" si="89"/>
        <v>2</v>
      </c>
      <c r="I1084" s="47" t="s">
        <v>351</v>
      </c>
      <c r="J1084" s="48" t="s">
        <v>33</v>
      </c>
      <c r="K1084" s="41">
        <f t="shared" si="88"/>
        <v>3172</v>
      </c>
    </row>
    <row r="1085" spans="4:11" s="41" customFormat="1">
      <c r="D1085" s="51" t="s">
        <v>511</v>
      </c>
      <c r="E1085" s="44"/>
      <c r="F1085" s="44"/>
      <c r="G1085" s="41">
        <f t="shared" si="87"/>
        <v>3173</v>
      </c>
      <c r="H1085" s="45">
        <f t="shared" si="89"/>
        <v>2</v>
      </c>
      <c r="I1085" s="47" t="s">
        <v>351</v>
      </c>
      <c r="J1085" s="48" t="s">
        <v>33</v>
      </c>
      <c r="K1085" s="41">
        <f t="shared" si="88"/>
        <v>3174</v>
      </c>
    </row>
    <row r="1086" spans="4:11" s="41" customFormat="1">
      <c r="D1086" s="51" t="s">
        <v>510</v>
      </c>
      <c r="E1086" s="44"/>
      <c r="F1086" s="44"/>
      <c r="G1086" s="41">
        <f t="shared" si="87"/>
        <v>3175</v>
      </c>
      <c r="H1086" s="45">
        <f t="shared" si="89"/>
        <v>2</v>
      </c>
      <c r="I1086" s="47" t="s">
        <v>351</v>
      </c>
      <c r="J1086" s="48" t="s">
        <v>33</v>
      </c>
      <c r="K1086" s="41">
        <f t="shared" si="88"/>
        <v>3176</v>
      </c>
    </row>
    <row r="1087" spans="4:11" s="41" customFormat="1">
      <c r="D1087" s="51" t="s">
        <v>509</v>
      </c>
      <c r="E1087" s="44"/>
      <c r="F1087" s="44"/>
      <c r="G1087" s="41">
        <f t="shared" si="87"/>
        <v>3177</v>
      </c>
      <c r="H1087" s="45">
        <f t="shared" si="89"/>
        <v>2</v>
      </c>
      <c r="I1087" s="47" t="s">
        <v>351</v>
      </c>
      <c r="J1087" s="48" t="s">
        <v>33</v>
      </c>
      <c r="K1087" s="41">
        <f t="shared" si="88"/>
        <v>3178</v>
      </c>
    </row>
    <row r="1088" spans="4:11" s="41" customFormat="1">
      <c r="D1088" s="51" t="s">
        <v>508</v>
      </c>
      <c r="E1088" s="44"/>
      <c r="F1088" s="44"/>
      <c r="G1088" s="41">
        <f t="shared" si="87"/>
        <v>3179</v>
      </c>
      <c r="H1088" s="45">
        <f t="shared" si="89"/>
        <v>2</v>
      </c>
      <c r="I1088" s="47" t="s">
        <v>351</v>
      </c>
      <c r="J1088" s="48" t="s">
        <v>33</v>
      </c>
      <c r="K1088" s="41">
        <f t="shared" si="88"/>
        <v>3180</v>
      </c>
    </row>
    <row r="1089" spans="4:11" s="41" customFormat="1">
      <c r="D1089" s="51" t="s">
        <v>507</v>
      </c>
      <c r="E1089" s="44"/>
      <c r="F1089" s="44"/>
      <c r="G1089" s="41">
        <v>3201</v>
      </c>
      <c r="H1089" s="45">
        <f t="shared" si="89"/>
        <v>2</v>
      </c>
      <c r="I1089" s="47" t="s">
        <v>351</v>
      </c>
      <c r="J1089" s="48" t="s">
        <v>33</v>
      </c>
      <c r="K1089" s="41">
        <f>3202</f>
        <v>3202</v>
      </c>
    </row>
    <row r="1090" spans="4:11" s="41" customFormat="1">
      <c r="D1090" s="51" t="s">
        <v>506</v>
      </c>
      <c r="E1090" s="44"/>
      <c r="F1090" s="44"/>
      <c r="G1090" s="41">
        <f t="shared" ref="G1090:G1128" si="90">G1089+2</f>
        <v>3203</v>
      </c>
      <c r="H1090" s="45">
        <f t="shared" si="89"/>
        <v>2</v>
      </c>
      <c r="I1090" s="47" t="s">
        <v>351</v>
      </c>
      <c r="J1090" s="48" t="s">
        <v>33</v>
      </c>
      <c r="K1090" s="41">
        <f t="shared" ref="K1090:K1128" si="91">K1089 + 2</f>
        <v>3204</v>
      </c>
    </row>
    <row r="1091" spans="4:11" s="41" customFormat="1">
      <c r="D1091" s="51" t="s">
        <v>505</v>
      </c>
      <c r="E1091" s="44"/>
      <c r="F1091" s="44"/>
      <c r="G1091" s="41">
        <f t="shared" si="90"/>
        <v>3205</v>
      </c>
      <c r="H1091" s="45">
        <f t="shared" si="89"/>
        <v>2</v>
      </c>
      <c r="I1091" s="47" t="s">
        <v>351</v>
      </c>
      <c r="J1091" s="48" t="s">
        <v>33</v>
      </c>
      <c r="K1091" s="41">
        <f t="shared" si="91"/>
        <v>3206</v>
      </c>
    </row>
    <row r="1092" spans="4:11" s="41" customFormat="1">
      <c r="D1092" s="51" t="s">
        <v>504</v>
      </c>
      <c r="E1092" s="44"/>
      <c r="F1092" s="44"/>
      <c r="G1092" s="41">
        <f t="shared" si="90"/>
        <v>3207</v>
      </c>
      <c r="H1092" s="45">
        <f t="shared" si="89"/>
        <v>2</v>
      </c>
      <c r="I1092" s="47" t="s">
        <v>351</v>
      </c>
      <c r="J1092" s="48" t="s">
        <v>33</v>
      </c>
      <c r="K1092" s="41">
        <f t="shared" si="91"/>
        <v>3208</v>
      </c>
    </row>
    <row r="1093" spans="4:11" s="41" customFormat="1">
      <c r="D1093" s="51" t="s">
        <v>503</v>
      </c>
      <c r="E1093" s="44"/>
      <c r="F1093" s="44"/>
      <c r="G1093" s="41">
        <f t="shared" si="90"/>
        <v>3209</v>
      </c>
      <c r="H1093" s="45">
        <f t="shared" si="89"/>
        <v>2</v>
      </c>
      <c r="I1093" s="47" t="s">
        <v>351</v>
      </c>
      <c r="J1093" s="48" t="s">
        <v>33</v>
      </c>
      <c r="K1093" s="41">
        <f t="shared" si="91"/>
        <v>3210</v>
      </c>
    </row>
    <row r="1094" spans="4:11" s="41" customFormat="1">
      <c r="D1094" s="51" t="s">
        <v>502</v>
      </c>
      <c r="E1094" s="44"/>
      <c r="F1094" s="44"/>
      <c r="G1094" s="41">
        <f t="shared" si="90"/>
        <v>3211</v>
      </c>
      <c r="H1094" s="45">
        <f t="shared" si="89"/>
        <v>2</v>
      </c>
      <c r="I1094" s="47" t="s">
        <v>351</v>
      </c>
      <c r="J1094" s="48" t="s">
        <v>33</v>
      </c>
      <c r="K1094" s="41">
        <f t="shared" si="91"/>
        <v>3212</v>
      </c>
    </row>
    <row r="1095" spans="4:11" s="41" customFormat="1">
      <c r="D1095" s="51" t="s">
        <v>501</v>
      </c>
      <c r="E1095" s="44"/>
      <c r="F1095" s="44"/>
      <c r="G1095" s="41">
        <f t="shared" si="90"/>
        <v>3213</v>
      </c>
      <c r="H1095" s="45">
        <f t="shared" si="89"/>
        <v>2</v>
      </c>
      <c r="I1095" s="47" t="s">
        <v>351</v>
      </c>
      <c r="J1095" s="48" t="s">
        <v>33</v>
      </c>
      <c r="K1095" s="41">
        <f t="shared" si="91"/>
        <v>3214</v>
      </c>
    </row>
    <row r="1096" spans="4:11" s="41" customFormat="1">
      <c r="D1096" s="51" t="s">
        <v>500</v>
      </c>
      <c r="E1096" s="44"/>
      <c r="F1096" s="44"/>
      <c r="G1096" s="41">
        <f t="shared" si="90"/>
        <v>3215</v>
      </c>
      <c r="H1096" s="45">
        <f t="shared" si="89"/>
        <v>2</v>
      </c>
      <c r="I1096" s="47" t="s">
        <v>351</v>
      </c>
      <c r="J1096" s="48" t="s">
        <v>33</v>
      </c>
      <c r="K1096" s="41">
        <f t="shared" si="91"/>
        <v>3216</v>
      </c>
    </row>
    <row r="1097" spans="4:11" s="41" customFormat="1">
      <c r="D1097" s="51" t="s">
        <v>499</v>
      </c>
      <c r="E1097" s="44"/>
      <c r="F1097" s="44"/>
      <c r="G1097" s="41">
        <f t="shared" si="90"/>
        <v>3217</v>
      </c>
      <c r="H1097" s="45">
        <f t="shared" si="89"/>
        <v>2</v>
      </c>
      <c r="I1097" s="47" t="s">
        <v>351</v>
      </c>
      <c r="J1097" s="48" t="s">
        <v>33</v>
      </c>
      <c r="K1097" s="41">
        <f t="shared" si="91"/>
        <v>3218</v>
      </c>
    </row>
    <row r="1098" spans="4:11" s="41" customFormat="1">
      <c r="D1098" s="51" t="s">
        <v>498</v>
      </c>
      <c r="E1098" s="44"/>
      <c r="F1098" s="44"/>
      <c r="G1098" s="41">
        <f t="shared" si="90"/>
        <v>3219</v>
      </c>
      <c r="H1098" s="45">
        <f t="shared" si="89"/>
        <v>2</v>
      </c>
      <c r="I1098" s="47" t="s">
        <v>351</v>
      </c>
      <c r="J1098" s="48" t="s">
        <v>33</v>
      </c>
      <c r="K1098" s="41">
        <f t="shared" si="91"/>
        <v>3220</v>
      </c>
    </row>
    <row r="1099" spans="4:11" s="41" customFormat="1">
      <c r="D1099" s="51" t="s">
        <v>497</v>
      </c>
      <c r="E1099" s="44"/>
      <c r="F1099" s="44"/>
      <c r="G1099" s="41">
        <f t="shared" si="90"/>
        <v>3221</v>
      </c>
      <c r="H1099" s="45">
        <f t="shared" si="89"/>
        <v>2</v>
      </c>
      <c r="I1099" s="47" t="s">
        <v>351</v>
      </c>
      <c r="J1099" s="48" t="s">
        <v>33</v>
      </c>
      <c r="K1099" s="41">
        <f t="shared" si="91"/>
        <v>3222</v>
      </c>
    </row>
    <row r="1100" spans="4:11" s="41" customFormat="1">
      <c r="D1100" s="51" t="s">
        <v>496</v>
      </c>
      <c r="E1100" s="44"/>
      <c r="F1100" s="44"/>
      <c r="G1100" s="41">
        <f t="shared" si="90"/>
        <v>3223</v>
      </c>
      <c r="H1100" s="45">
        <f t="shared" si="89"/>
        <v>2</v>
      </c>
      <c r="I1100" s="47" t="s">
        <v>351</v>
      </c>
      <c r="J1100" s="48" t="s">
        <v>33</v>
      </c>
      <c r="K1100" s="41">
        <f t="shared" si="91"/>
        <v>3224</v>
      </c>
    </row>
    <row r="1101" spans="4:11" s="41" customFormat="1">
      <c r="D1101" s="51" t="s">
        <v>495</v>
      </c>
      <c r="E1101" s="44"/>
      <c r="F1101" s="44"/>
      <c r="G1101" s="41">
        <f t="shared" si="90"/>
        <v>3225</v>
      </c>
      <c r="H1101" s="45">
        <f t="shared" si="89"/>
        <v>2</v>
      </c>
      <c r="I1101" s="47" t="s">
        <v>351</v>
      </c>
      <c r="J1101" s="48" t="s">
        <v>33</v>
      </c>
      <c r="K1101" s="41">
        <f t="shared" si="91"/>
        <v>3226</v>
      </c>
    </row>
    <row r="1102" spans="4:11" s="41" customFormat="1">
      <c r="D1102" s="51" t="s">
        <v>494</v>
      </c>
      <c r="E1102" s="44"/>
      <c r="F1102" s="44"/>
      <c r="G1102" s="41">
        <f t="shared" si="90"/>
        <v>3227</v>
      </c>
      <c r="H1102" s="45">
        <f t="shared" si="89"/>
        <v>2</v>
      </c>
      <c r="I1102" s="47" t="s">
        <v>351</v>
      </c>
      <c r="J1102" s="48" t="s">
        <v>33</v>
      </c>
      <c r="K1102" s="41">
        <f t="shared" si="91"/>
        <v>3228</v>
      </c>
    </row>
    <row r="1103" spans="4:11" s="41" customFormat="1">
      <c r="D1103" s="51" t="s">
        <v>493</v>
      </c>
      <c r="E1103" s="44"/>
      <c r="F1103" s="44"/>
      <c r="G1103" s="41">
        <f t="shared" si="90"/>
        <v>3229</v>
      </c>
      <c r="H1103" s="45">
        <f t="shared" si="89"/>
        <v>2</v>
      </c>
      <c r="I1103" s="47" t="s">
        <v>351</v>
      </c>
      <c r="J1103" s="48" t="s">
        <v>33</v>
      </c>
      <c r="K1103" s="41">
        <f t="shared" si="91"/>
        <v>3230</v>
      </c>
    </row>
    <row r="1104" spans="4:11" s="41" customFormat="1">
      <c r="D1104" s="51" t="s">
        <v>492</v>
      </c>
      <c r="E1104" s="44"/>
      <c r="F1104" s="44"/>
      <c r="G1104" s="41">
        <f t="shared" si="90"/>
        <v>3231</v>
      </c>
      <c r="H1104" s="45">
        <f t="shared" si="89"/>
        <v>2</v>
      </c>
      <c r="I1104" s="47" t="s">
        <v>351</v>
      </c>
      <c r="J1104" s="48" t="s">
        <v>33</v>
      </c>
      <c r="K1104" s="41">
        <f t="shared" si="91"/>
        <v>3232</v>
      </c>
    </row>
    <row r="1105" spans="4:11" s="41" customFormat="1">
      <c r="D1105" s="51" t="s">
        <v>491</v>
      </c>
      <c r="E1105" s="44"/>
      <c r="F1105" s="44"/>
      <c r="G1105" s="41">
        <f t="shared" si="90"/>
        <v>3233</v>
      </c>
      <c r="H1105" s="45">
        <f t="shared" ref="H1105:H1128" si="92">K1105-G1105+1</f>
        <v>2</v>
      </c>
      <c r="I1105" s="47" t="s">
        <v>351</v>
      </c>
      <c r="J1105" s="48" t="s">
        <v>33</v>
      </c>
      <c r="K1105" s="41">
        <f t="shared" si="91"/>
        <v>3234</v>
      </c>
    </row>
    <row r="1106" spans="4:11" s="41" customFormat="1">
      <c r="D1106" s="51" t="s">
        <v>490</v>
      </c>
      <c r="E1106" s="44"/>
      <c r="F1106" s="44"/>
      <c r="G1106" s="41">
        <f t="shared" si="90"/>
        <v>3235</v>
      </c>
      <c r="H1106" s="45">
        <f t="shared" si="92"/>
        <v>2</v>
      </c>
      <c r="I1106" s="47" t="s">
        <v>351</v>
      </c>
      <c r="J1106" s="48" t="s">
        <v>33</v>
      </c>
      <c r="K1106" s="41">
        <f t="shared" si="91"/>
        <v>3236</v>
      </c>
    </row>
    <row r="1107" spans="4:11" s="41" customFormat="1">
      <c r="D1107" s="51" t="s">
        <v>489</v>
      </c>
      <c r="E1107" s="44"/>
      <c r="F1107" s="44"/>
      <c r="G1107" s="41">
        <f t="shared" si="90"/>
        <v>3237</v>
      </c>
      <c r="H1107" s="45">
        <f t="shared" si="92"/>
        <v>2</v>
      </c>
      <c r="I1107" s="47" t="s">
        <v>351</v>
      </c>
      <c r="J1107" s="48" t="s">
        <v>33</v>
      </c>
      <c r="K1107" s="41">
        <f t="shared" si="91"/>
        <v>3238</v>
      </c>
    </row>
    <row r="1108" spans="4:11" s="41" customFormat="1">
      <c r="D1108" s="51" t="s">
        <v>488</v>
      </c>
      <c r="E1108" s="44"/>
      <c r="F1108" s="44"/>
      <c r="G1108" s="41">
        <f t="shared" si="90"/>
        <v>3239</v>
      </c>
      <c r="H1108" s="45">
        <f t="shared" si="92"/>
        <v>2</v>
      </c>
      <c r="I1108" s="47" t="s">
        <v>351</v>
      </c>
      <c r="J1108" s="48" t="s">
        <v>33</v>
      </c>
      <c r="K1108" s="41">
        <f t="shared" si="91"/>
        <v>3240</v>
      </c>
    </row>
    <row r="1109" spans="4:11" s="41" customFormat="1">
      <c r="D1109" s="51" t="s">
        <v>487</v>
      </c>
      <c r="E1109" s="44"/>
      <c r="F1109" s="44"/>
      <c r="G1109" s="41">
        <f t="shared" si="90"/>
        <v>3241</v>
      </c>
      <c r="H1109" s="45">
        <f t="shared" si="92"/>
        <v>2</v>
      </c>
      <c r="I1109" s="47" t="s">
        <v>351</v>
      </c>
      <c r="J1109" s="48" t="s">
        <v>33</v>
      </c>
      <c r="K1109" s="41">
        <f t="shared" si="91"/>
        <v>3242</v>
      </c>
    </row>
    <row r="1110" spans="4:11" s="41" customFormat="1">
      <c r="D1110" s="51" t="s">
        <v>486</v>
      </c>
      <c r="E1110" s="44"/>
      <c r="F1110" s="44"/>
      <c r="G1110" s="41">
        <f t="shared" si="90"/>
        <v>3243</v>
      </c>
      <c r="H1110" s="45">
        <f t="shared" si="92"/>
        <v>2</v>
      </c>
      <c r="I1110" s="47" t="s">
        <v>351</v>
      </c>
      <c r="J1110" s="48" t="s">
        <v>33</v>
      </c>
      <c r="K1110" s="41">
        <f t="shared" si="91"/>
        <v>3244</v>
      </c>
    </row>
    <row r="1111" spans="4:11" s="41" customFormat="1">
      <c r="D1111" s="51" t="s">
        <v>485</v>
      </c>
      <c r="E1111" s="44"/>
      <c r="F1111" s="44"/>
      <c r="G1111" s="41">
        <f t="shared" si="90"/>
        <v>3245</v>
      </c>
      <c r="H1111" s="45">
        <f t="shared" si="92"/>
        <v>2</v>
      </c>
      <c r="I1111" s="47" t="s">
        <v>351</v>
      </c>
      <c r="J1111" s="48" t="s">
        <v>33</v>
      </c>
      <c r="K1111" s="41">
        <f t="shared" si="91"/>
        <v>3246</v>
      </c>
    </row>
    <row r="1112" spans="4:11" s="41" customFormat="1">
      <c r="D1112" s="51" t="s">
        <v>484</v>
      </c>
      <c r="E1112" s="44"/>
      <c r="F1112" s="44"/>
      <c r="G1112" s="41">
        <f t="shared" si="90"/>
        <v>3247</v>
      </c>
      <c r="H1112" s="45">
        <f t="shared" si="92"/>
        <v>2</v>
      </c>
      <c r="I1112" s="47" t="s">
        <v>351</v>
      </c>
      <c r="J1112" s="48" t="s">
        <v>33</v>
      </c>
      <c r="K1112" s="41">
        <f t="shared" si="91"/>
        <v>3248</v>
      </c>
    </row>
    <row r="1113" spans="4:11" s="41" customFormat="1">
      <c r="D1113" s="51" t="s">
        <v>483</v>
      </c>
      <c r="E1113" s="44"/>
      <c r="F1113" s="44"/>
      <c r="G1113" s="41">
        <f t="shared" si="90"/>
        <v>3249</v>
      </c>
      <c r="H1113" s="45">
        <f t="shared" si="92"/>
        <v>2</v>
      </c>
      <c r="I1113" s="47" t="s">
        <v>351</v>
      </c>
      <c r="J1113" s="48" t="s">
        <v>33</v>
      </c>
      <c r="K1113" s="41">
        <f t="shared" si="91"/>
        <v>3250</v>
      </c>
    </row>
    <row r="1114" spans="4:11" s="41" customFormat="1">
      <c r="D1114" s="51" t="s">
        <v>482</v>
      </c>
      <c r="E1114" s="44"/>
      <c r="F1114" s="44"/>
      <c r="G1114" s="41">
        <f t="shared" si="90"/>
        <v>3251</v>
      </c>
      <c r="H1114" s="45">
        <f t="shared" si="92"/>
        <v>2</v>
      </c>
      <c r="I1114" s="47" t="s">
        <v>351</v>
      </c>
      <c r="J1114" s="48" t="s">
        <v>33</v>
      </c>
      <c r="K1114" s="41">
        <f t="shared" si="91"/>
        <v>3252</v>
      </c>
    </row>
    <row r="1115" spans="4:11" s="41" customFormat="1">
      <c r="D1115" s="51" t="s">
        <v>481</v>
      </c>
      <c r="E1115" s="44"/>
      <c r="F1115" s="44"/>
      <c r="G1115" s="41">
        <f t="shared" si="90"/>
        <v>3253</v>
      </c>
      <c r="H1115" s="45">
        <f t="shared" si="92"/>
        <v>2</v>
      </c>
      <c r="I1115" s="47" t="s">
        <v>351</v>
      </c>
      <c r="J1115" s="48" t="s">
        <v>33</v>
      </c>
      <c r="K1115" s="41">
        <f t="shared" si="91"/>
        <v>3254</v>
      </c>
    </row>
    <row r="1116" spans="4:11" s="41" customFormat="1">
      <c r="D1116" s="51" t="s">
        <v>480</v>
      </c>
      <c r="E1116" s="44"/>
      <c r="F1116" s="44"/>
      <c r="G1116" s="41">
        <f t="shared" si="90"/>
        <v>3255</v>
      </c>
      <c r="H1116" s="45">
        <f t="shared" si="92"/>
        <v>2</v>
      </c>
      <c r="I1116" s="47" t="s">
        <v>351</v>
      </c>
      <c r="J1116" s="48" t="s">
        <v>33</v>
      </c>
      <c r="K1116" s="41">
        <f t="shared" si="91"/>
        <v>3256</v>
      </c>
    </row>
    <row r="1117" spans="4:11" s="41" customFormat="1">
      <c r="D1117" s="51" t="s">
        <v>479</v>
      </c>
      <c r="E1117" s="44"/>
      <c r="F1117" s="44"/>
      <c r="G1117" s="41">
        <f t="shared" si="90"/>
        <v>3257</v>
      </c>
      <c r="H1117" s="45">
        <f t="shared" si="92"/>
        <v>2</v>
      </c>
      <c r="I1117" s="47" t="s">
        <v>351</v>
      </c>
      <c r="J1117" s="48" t="s">
        <v>33</v>
      </c>
      <c r="K1117" s="41">
        <f t="shared" si="91"/>
        <v>3258</v>
      </c>
    </row>
    <row r="1118" spans="4:11" s="41" customFormat="1">
      <c r="D1118" s="51" t="s">
        <v>478</v>
      </c>
      <c r="E1118" s="44"/>
      <c r="F1118" s="44"/>
      <c r="G1118" s="41">
        <f t="shared" si="90"/>
        <v>3259</v>
      </c>
      <c r="H1118" s="45">
        <f t="shared" si="92"/>
        <v>2</v>
      </c>
      <c r="I1118" s="47" t="s">
        <v>351</v>
      </c>
      <c r="J1118" s="48" t="s">
        <v>33</v>
      </c>
      <c r="K1118" s="41">
        <f t="shared" si="91"/>
        <v>3260</v>
      </c>
    </row>
    <row r="1119" spans="4:11" s="41" customFormat="1">
      <c r="D1119" s="51" t="s">
        <v>477</v>
      </c>
      <c r="E1119" s="44"/>
      <c r="F1119" s="44"/>
      <c r="G1119" s="41">
        <f t="shared" si="90"/>
        <v>3261</v>
      </c>
      <c r="H1119" s="45">
        <f t="shared" si="92"/>
        <v>2</v>
      </c>
      <c r="I1119" s="47" t="s">
        <v>351</v>
      </c>
      <c r="J1119" s="48" t="s">
        <v>33</v>
      </c>
      <c r="K1119" s="41">
        <f t="shared" si="91"/>
        <v>3262</v>
      </c>
    </row>
    <row r="1120" spans="4:11" s="41" customFormat="1">
      <c r="D1120" s="51" t="s">
        <v>476</v>
      </c>
      <c r="E1120" s="44"/>
      <c r="F1120" s="44"/>
      <c r="G1120" s="41">
        <f t="shared" si="90"/>
        <v>3263</v>
      </c>
      <c r="H1120" s="45">
        <f t="shared" si="92"/>
        <v>2</v>
      </c>
      <c r="I1120" s="47" t="s">
        <v>351</v>
      </c>
      <c r="J1120" s="48" t="s">
        <v>33</v>
      </c>
      <c r="K1120" s="41">
        <f t="shared" si="91"/>
        <v>3264</v>
      </c>
    </row>
    <row r="1121" spans="1:12" s="41" customFormat="1">
      <c r="D1121" s="51" t="s">
        <v>475</v>
      </c>
      <c r="E1121" s="44"/>
      <c r="F1121" s="44"/>
      <c r="G1121" s="41">
        <f t="shared" si="90"/>
        <v>3265</v>
      </c>
      <c r="H1121" s="45">
        <f t="shared" si="92"/>
        <v>2</v>
      </c>
      <c r="I1121" s="47" t="s">
        <v>351</v>
      </c>
      <c r="J1121" s="48" t="s">
        <v>33</v>
      </c>
      <c r="K1121" s="41">
        <f t="shared" si="91"/>
        <v>3266</v>
      </c>
    </row>
    <row r="1122" spans="1:12" s="41" customFormat="1">
      <c r="D1122" s="51" t="s">
        <v>474</v>
      </c>
      <c r="E1122" s="44"/>
      <c r="F1122" s="44"/>
      <c r="G1122" s="41">
        <f t="shared" si="90"/>
        <v>3267</v>
      </c>
      <c r="H1122" s="45">
        <f t="shared" si="92"/>
        <v>2</v>
      </c>
      <c r="I1122" s="47" t="s">
        <v>351</v>
      </c>
      <c r="J1122" s="48" t="s">
        <v>33</v>
      </c>
      <c r="K1122" s="41">
        <f t="shared" si="91"/>
        <v>3268</v>
      </c>
    </row>
    <row r="1123" spans="1:12" s="41" customFormat="1">
      <c r="D1123" s="51" t="s">
        <v>473</v>
      </c>
      <c r="E1123" s="44"/>
      <c r="F1123" s="44"/>
      <c r="G1123" s="41">
        <f t="shared" si="90"/>
        <v>3269</v>
      </c>
      <c r="H1123" s="45">
        <f t="shared" si="92"/>
        <v>2</v>
      </c>
      <c r="I1123" s="47" t="s">
        <v>351</v>
      </c>
      <c r="J1123" s="48" t="s">
        <v>33</v>
      </c>
      <c r="K1123" s="41">
        <f t="shared" si="91"/>
        <v>3270</v>
      </c>
    </row>
    <row r="1124" spans="1:12" s="41" customFormat="1">
      <c r="D1124" s="51" t="s">
        <v>472</v>
      </c>
      <c r="E1124" s="44"/>
      <c r="F1124" s="44"/>
      <c r="G1124" s="41">
        <f t="shared" si="90"/>
        <v>3271</v>
      </c>
      <c r="H1124" s="45">
        <f t="shared" si="92"/>
        <v>2</v>
      </c>
      <c r="I1124" s="47" t="s">
        <v>351</v>
      </c>
      <c r="J1124" s="48" t="s">
        <v>33</v>
      </c>
      <c r="K1124" s="41">
        <f t="shared" si="91"/>
        <v>3272</v>
      </c>
    </row>
    <row r="1125" spans="1:12" s="41" customFormat="1">
      <c r="D1125" s="51" t="s">
        <v>471</v>
      </c>
      <c r="E1125" s="44"/>
      <c r="F1125" s="44"/>
      <c r="G1125" s="41">
        <f t="shared" si="90"/>
        <v>3273</v>
      </c>
      <c r="H1125" s="45">
        <f t="shared" si="92"/>
        <v>2</v>
      </c>
      <c r="I1125" s="47" t="s">
        <v>351</v>
      </c>
      <c r="J1125" s="48" t="s">
        <v>33</v>
      </c>
      <c r="K1125" s="41">
        <f t="shared" si="91"/>
        <v>3274</v>
      </c>
    </row>
    <row r="1126" spans="1:12" s="41" customFormat="1">
      <c r="D1126" s="51" t="s">
        <v>470</v>
      </c>
      <c r="E1126" s="44"/>
      <c r="F1126" s="44"/>
      <c r="G1126" s="41">
        <f t="shared" si="90"/>
        <v>3275</v>
      </c>
      <c r="H1126" s="45">
        <f t="shared" si="92"/>
        <v>2</v>
      </c>
      <c r="I1126" s="47" t="s">
        <v>351</v>
      </c>
      <c r="J1126" s="48" t="s">
        <v>33</v>
      </c>
      <c r="K1126" s="41">
        <f t="shared" si="91"/>
        <v>3276</v>
      </c>
    </row>
    <row r="1127" spans="1:12" s="41" customFormat="1">
      <c r="D1127" s="51" t="s">
        <v>469</v>
      </c>
      <c r="E1127" s="44"/>
      <c r="F1127" s="44"/>
      <c r="G1127" s="41">
        <f t="shared" si="90"/>
        <v>3277</v>
      </c>
      <c r="H1127" s="45">
        <f t="shared" si="92"/>
        <v>2</v>
      </c>
      <c r="I1127" s="47" t="s">
        <v>351</v>
      </c>
      <c r="J1127" s="48" t="s">
        <v>33</v>
      </c>
      <c r="K1127" s="41">
        <f t="shared" si="91"/>
        <v>3278</v>
      </c>
    </row>
    <row r="1128" spans="1:12" s="41" customFormat="1">
      <c r="D1128" s="51" t="s">
        <v>468</v>
      </c>
      <c r="E1128" s="44"/>
      <c r="F1128" s="44"/>
      <c r="G1128" s="41">
        <f t="shared" si="90"/>
        <v>3279</v>
      </c>
      <c r="H1128" s="45">
        <f t="shared" si="92"/>
        <v>2</v>
      </c>
      <c r="I1128" s="47" t="s">
        <v>351</v>
      </c>
      <c r="J1128" s="48" t="s">
        <v>33</v>
      </c>
      <c r="K1128" s="41">
        <f t="shared" si="91"/>
        <v>3280</v>
      </c>
    </row>
    <row r="1129" spans="1:12" s="41" customFormat="1">
      <c r="D1129" s="51"/>
      <c r="E1129" s="44"/>
      <c r="F1129" s="44"/>
      <c r="H1129" s="44"/>
      <c r="I1129" s="44"/>
      <c r="J1129" s="44"/>
    </row>
    <row r="1130" spans="1:12" s="43" customFormat="1">
      <c r="A1130" s="42"/>
      <c r="B1130" s="42" t="s">
        <v>304</v>
      </c>
      <c r="C1130" s="42" t="s">
        <v>467</v>
      </c>
      <c r="D1130" s="54"/>
      <c r="E1130" s="46"/>
      <c r="F1130" s="46"/>
      <c r="G1130" s="42"/>
      <c r="H1130" s="45"/>
      <c r="I1130" s="46"/>
      <c r="J1130" s="49"/>
      <c r="K1130" s="42"/>
      <c r="L1130" s="42"/>
    </row>
    <row r="1131" spans="1:12" s="41" customFormat="1">
      <c r="D1131" s="51" t="s">
        <v>316</v>
      </c>
      <c r="E1131" s="44"/>
      <c r="F1131" s="44"/>
      <c r="G1131" s="41">
        <v>5001</v>
      </c>
      <c r="H1131" s="45">
        <f t="shared" ref="H1131:H1162" si="93">K1131-G1131+1</f>
        <v>1</v>
      </c>
      <c r="I1131" s="47" t="s">
        <v>350</v>
      </c>
      <c r="J1131" s="48" t="s">
        <v>303</v>
      </c>
      <c r="K1131" s="41">
        <v>5001</v>
      </c>
    </row>
    <row r="1132" spans="1:12" s="41" customFormat="1">
      <c r="D1132" s="51" t="s">
        <v>315</v>
      </c>
      <c r="E1132" s="44"/>
      <c r="F1132" s="44"/>
      <c r="G1132" s="41">
        <v>5002</v>
      </c>
      <c r="H1132" s="45">
        <f t="shared" si="93"/>
        <v>1</v>
      </c>
      <c r="I1132" s="47" t="s">
        <v>350</v>
      </c>
      <c r="J1132" s="48" t="s">
        <v>303</v>
      </c>
      <c r="K1132" s="41">
        <v>5002</v>
      </c>
    </row>
    <row r="1133" spans="1:12" s="41" customFormat="1">
      <c r="D1133" s="51" t="s">
        <v>314</v>
      </c>
      <c r="E1133" s="44"/>
      <c r="F1133" s="44"/>
      <c r="G1133" s="41">
        <v>5003</v>
      </c>
      <c r="H1133" s="45">
        <f t="shared" si="93"/>
        <v>1</v>
      </c>
      <c r="I1133" s="47" t="s">
        <v>350</v>
      </c>
      <c r="J1133" s="48" t="s">
        <v>303</v>
      </c>
      <c r="K1133" s="41">
        <v>5003</v>
      </c>
    </row>
    <row r="1134" spans="1:12" s="41" customFormat="1">
      <c r="D1134" s="51" t="s">
        <v>313</v>
      </c>
      <c r="E1134" s="44"/>
      <c r="F1134" s="44"/>
      <c r="G1134" s="41">
        <v>5004</v>
      </c>
      <c r="H1134" s="45">
        <f t="shared" si="93"/>
        <v>1</v>
      </c>
      <c r="I1134" s="47" t="s">
        <v>350</v>
      </c>
      <c r="J1134" s="48" t="s">
        <v>303</v>
      </c>
      <c r="K1134" s="41">
        <v>5004</v>
      </c>
    </row>
    <row r="1135" spans="1:12" s="41" customFormat="1">
      <c r="D1135" s="51" t="s">
        <v>466</v>
      </c>
      <c r="E1135" s="44"/>
      <c r="F1135" s="44"/>
      <c r="G1135" s="41">
        <v>5005</v>
      </c>
      <c r="H1135" s="45">
        <f t="shared" si="93"/>
        <v>2</v>
      </c>
      <c r="I1135" s="47" t="s">
        <v>351</v>
      </c>
      <c r="J1135" s="48" t="s">
        <v>10</v>
      </c>
      <c r="K1135" s="41">
        <v>5006</v>
      </c>
    </row>
    <row r="1136" spans="1:12" s="41" customFormat="1">
      <c r="D1136" s="51" t="s">
        <v>465</v>
      </c>
      <c r="E1136" s="44"/>
      <c r="F1136" s="44"/>
      <c r="G1136" s="41">
        <v>5007</v>
      </c>
      <c r="H1136" s="45">
        <f t="shared" si="93"/>
        <v>2</v>
      </c>
      <c r="I1136" s="47" t="s">
        <v>351</v>
      </c>
      <c r="J1136" s="48" t="s">
        <v>403</v>
      </c>
      <c r="K1136" s="41">
        <v>5008</v>
      </c>
    </row>
    <row r="1137" spans="4:11" s="41" customFormat="1">
      <c r="D1137" s="51" t="s">
        <v>302</v>
      </c>
      <c r="E1137" s="44"/>
      <c r="F1137" s="44"/>
      <c r="G1137" s="41">
        <v>5009</v>
      </c>
      <c r="H1137" s="45">
        <f t="shared" si="93"/>
        <v>2</v>
      </c>
      <c r="I1137" s="47" t="s">
        <v>350</v>
      </c>
      <c r="J1137" s="48" t="s">
        <v>303</v>
      </c>
      <c r="K1137" s="41">
        <v>5010</v>
      </c>
    </row>
    <row r="1138" spans="4:11" s="41" customFormat="1">
      <c r="D1138" s="51" t="s">
        <v>316</v>
      </c>
      <c r="E1138" s="44"/>
      <c r="F1138" s="44"/>
      <c r="G1138" s="41">
        <v>5011</v>
      </c>
      <c r="H1138" s="45">
        <f t="shared" si="93"/>
        <v>1</v>
      </c>
      <c r="I1138" s="47" t="s">
        <v>350</v>
      </c>
      <c r="J1138" s="48" t="s">
        <v>303</v>
      </c>
      <c r="K1138" s="41">
        <v>5011</v>
      </c>
    </row>
    <row r="1139" spans="4:11" s="41" customFormat="1">
      <c r="D1139" s="51" t="s">
        <v>315</v>
      </c>
      <c r="E1139" s="44"/>
      <c r="F1139" s="44"/>
      <c r="G1139" s="41">
        <v>5012</v>
      </c>
      <c r="H1139" s="45">
        <f t="shared" si="93"/>
        <v>1</v>
      </c>
      <c r="I1139" s="47" t="s">
        <v>350</v>
      </c>
      <c r="J1139" s="48" t="s">
        <v>303</v>
      </c>
      <c r="K1139" s="41">
        <v>5012</v>
      </c>
    </row>
    <row r="1140" spans="4:11" s="41" customFormat="1">
      <c r="D1140" s="51" t="s">
        <v>314</v>
      </c>
      <c r="E1140" s="44"/>
      <c r="F1140" s="44"/>
      <c r="G1140" s="41">
        <v>5013</v>
      </c>
      <c r="H1140" s="45">
        <f t="shared" si="93"/>
        <v>1</v>
      </c>
      <c r="I1140" s="47" t="s">
        <v>350</v>
      </c>
      <c r="J1140" s="48" t="s">
        <v>303</v>
      </c>
      <c r="K1140" s="41">
        <v>5013</v>
      </c>
    </row>
    <row r="1141" spans="4:11" s="41" customFormat="1">
      <c r="D1141" s="51" t="s">
        <v>313</v>
      </c>
      <c r="E1141" s="44"/>
      <c r="F1141" s="44"/>
      <c r="G1141" s="41">
        <v>5014</v>
      </c>
      <c r="H1141" s="45">
        <f t="shared" si="93"/>
        <v>1</v>
      </c>
      <c r="I1141" s="47" t="s">
        <v>350</v>
      </c>
      <c r="J1141" s="48" t="s">
        <v>303</v>
      </c>
      <c r="K1141" s="41">
        <v>5014</v>
      </c>
    </row>
    <row r="1142" spans="4:11" s="41" customFormat="1">
      <c r="D1142" s="51" t="s">
        <v>464</v>
      </c>
      <c r="E1142" s="44"/>
      <c r="F1142" s="44"/>
      <c r="G1142" s="41">
        <v>5015</v>
      </c>
      <c r="H1142" s="45">
        <f t="shared" si="93"/>
        <v>2</v>
      </c>
      <c r="I1142" s="47" t="s">
        <v>351</v>
      </c>
      <c r="J1142" s="48" t="s">
        <v>10</v>
      </c>
      <c r="K1142" s="41">
        <v>5016</v>
      </c>
    </row>
    <row r="1143" spans="4:11" s="41" customFormat="1">
      <c r="D1143" s="51" t="s">
        <v>463</v>
      </c>
      <c r="E1143" s="44"/>
      <c r="F1143" s="44"/>
      <c r="G1143" s="41">
        <v>5017</v>
      </c>
      <c r="H1143" s="45">
        <f t="shared" si="93"/>
        <v>2</v>
      </c>
      <c r="I1143" s="47" t="s">
        <v>351</v>
      </c>
      <c r="J1143" s="48" t="s">
        <v>403</v>
      </c>
      <c r="K1143" s="41">
        <v>5018</v>
      </c>
    </row>
    <row r="1144" spans="4:11" s="41" customFormat="1">
      <c r="D1144" s="51" t="s">
        <v>302</v>
      </c>
      <c r="E1144" s="44"/>
      <c r="F1144" s="44"/>
      <c r="G1144" s="41">
        <v>5019</v>
      </c>
      <c r="H1144" s="45">
        <f t="shared" si="93"/>
        <v>2</v>
      </c>
      <c r="I1144" s="47" t="s">
        <v>350</v>
      </c>
      <c r="J1144" s="48" t="s">
        <v>303</v>
      </c>
      <c r="K1144" s="41">
        <v>5020</v>
      </c>
    </row>
    <row r="1145" spans="4:11" s="41" customFormat="1">
      <c r="D1145" s="51" t="s">
        <v>316</v>
      </c>
      <c r="E1145" s="44"/>
      <c r="F1145" s="44"/>
      <c r="G1145" s="41">
        <f>G1144+2</f>
        <v>5021</v>
      </c>
      <c r="H1145" s="45">
        <f t="shared" si="93"/>
        <v>1</v>
      </c>
      <c r="I1145" s="47" t="s">
        <v>350</v>
      </c>
      <c r="J1145" s="48" t="s">
        <v>303</v>
      </c>
      <c r="K1145" s="41">
        <v>5021</v>
      </c>
    </row>
    <row r="1146" spans="4:11" s="41" customFormat="1">
      <c r="D1146" s="51" t="s">
        <v>315</v>
      </c>
      <c r="E1146" s="44"/>
      <c r="F1146" s="44"/>
      <c r="G1146" s="41">
        <v>5022</v>
      </c>
      <c r="H1146" s="45">
        <f t="shared" si="93"/>
        <v>1</v>
      </c>
      <c r="I1146" s="47" t="s">
        <v>350</v>
      </c>
      <c r="J1146" s="48" t="s">
        <v>303</v>
      </c>
      <c r="K1146" s="41">
        <v>5022</v>
      </c>
    </row>
    <row r="1147" spans="4:11" s="41" customFormat="1">
      <c r="D1147" s="51" t="s">
        <v>314</v>
      </c>
      <c r="E1147" s="44"/>
      <c r="F1147" s="44"/>
      <c r="G1147" s="41">
        <f>G1146+1</f>
        <v>5023</v>
      </c>
      <c r="H1147" s="45">
        <f t="shared" si="93"/>
        <v>1</v>
      </c>
      <c r="I1147" s="47" t="s">
        <v>350</v>
      </c>
      <c r="J1147" s="48" t="s">
        <v>303</v>
      </c>
      <c r="K1147" s="41">
        <f>K1146+1</f>
        <v>5023</v>
      </c>
    </row>
    <row r="1148" spans="4:11" s="41" customFormat="1">
      <c r="D1148" s="51" t="s">
        <v>313</v>
      </c>
      <c r="E1148" s="44"/>
      <c r="F1148" s="44"/>
      <c r="G1148" s="41">
        <f>G1147+1</f>
        <v>5024</v>
      </c>
      <c r="H1148" s="45">
        <f t="shared" si="93"/>
        <v>1</v>
      </c>
      <c r="I1148" s="47" t="s">
        <v>350</v>
      </c>
      <c r="J1148" s="48" t="s">
        <v>303</v>
      </c>
      <c r="K1148" s="41">
        <f>K1147+1</f>
        <v>5024</v>
      </c>
    </row>
    <row r="1149" spans="4:11" s="41" customFormat="1">
      <c r="D1149" s="51" t="s">
        <v>462</v>
      </c>
      <c r="E1149" s="44"/>
      <c r="F1149" s="44"/>
      <c r="G1149" s="41">
        <f>G1148+1</f>
        <v>5025</v>
      </c>
      <c r="H1149" s="45">
        <f t="shared" si="93"/>
        <v>2</v>
      </c>
      <c r="I1149" s="47" t="s">
        <v>351</v>
      </c>
      <c r="J1149" s="48" t="s">
        <v>10</v>
      </c>
      <c r="K1149" s="41">
        <v>5026</v>
      </c>
    </row>
    <row r="1150" spans="4:11" s="41" customFormat="1">
      <c r="D1150" s="51" t="s">
        <v>461</v>
      </c>
      <c r="E1150" s="44"/>
      <c r="F1150" s="44"/>
      <c r="G1150" s="41">
        <f>G1149+2</f>
        <v>5027</v>
      </c>
      <c r="H1150" s="45">
        <f t="shared" si="93"/>
        <v>2</v>
      </c>
      <c r="I1150" s="47" t="s">
        <v>351</v>
      </c>
      <c r="J1150" s="48" t="s">
        <v>403</v>
      </c>
      <c r="K1150" s="41">
        <f>K1149+2</f>
        <v>5028</v>
      </c>
    </row>
    <row r="1151" spans="4:11" s="41" customFormat="1">
      <c r="D1151" s="51" t="s">
        <v>302</v>
      </c>
      <c r="E1151" s="44"/>
      <c r="F1151" s="44"/>
      <c r="G1151" s="41">
        <f>G1150+2</f>
        <v>5029</v>
      </c>
      <c r="H1151" s="45">
        <f t="shared" si="93"/>
        <v>2</v>
      </c>
      <c r="I1151" s="47" t="s">
        <v>350</v>
      </c>
      <c r="J1151" s="48" t="s">
        <v>303</v>
      </c>
      <c r="K1151" s="41">
        <f>K1150+2</f>
        <v>5030</v>
      </c>
    </row>
    <row r="1152" spans="4:11" s="41" customFormat="1">
      <c r="D1152" s="51" t="s">
        <v>316</v>
      </c>
      <c r="E1152" s="44"/>
      <c r="F1152" s="44"/>
      <c r="G1152" s="41">
        <f>G1151+2</f>
        <v>5031</v>
      </c>
      <c r="H1152" s="45">
        <f t="shared" si="93"/>
        <v>1</v>
      </c>
      <c r="I1152" s="47" t="s">
        <v>350</v>
      </c>
      <c r="J1152" s="48" t="s">
        <v>303</v>
      </c>
      <c r="K1152" s="41">
        <f>K1151+1</f>
        <v>5031</v>
      </c>
    </row>
    <row r="1153" spans="4:11" s="41" customFormat="1">
      <c r="D1153" s="51" t="s">
        <v>315</v>
      </c>
      <c r="E1153" s="44"/>
      <c r="F1153" s="44"/>
      <c r="G1153" s="41">
        <f>G1152+1</f>
        <v>5032</v>
      </c>
      <c r="H1153" s="45">
        <f t="shared" si="93"/>
        <v>1</v>
      </c>
      <c r="I1153" s="47" t="s">
        <v>350</v>
      </c>
      <c r="J1153" s="48" t="s">
        <v>303</v>
      </c>
      <c r="K1153" s="41">
        <f>K1152+1</f>
        <v>5032</v>
      </c>
    </row>
    <row r="1154" spans="4:11" s="41" customFormat="1">
      <c r="D1154" s="51" t="s">
        <v>314</v>
      </c>
      <c r="E1154" s="44"/>
      <c r="F1154" s="44"/>
      <c r="G1154" s="41">
        <f>G1153+1</f>
        <v>5033</v>
      </c>
      <c r="H1154" s="45">
        <f t="shared" si="93"/>
        <v>1</v>
      </c>
      <c r="I1154" s="47" t="s">
        <v>350</v>
      </c>
      <c r="J1154" s="48" t="s">
        <v>303</v>
      </c>
      <c r="K1154" s="41">
        <f>K1153+1</f>
        <v>5033</v>
      </c>
    </row>
    <row r="1155" spans="4:11" s="41" customFormat="1">
      <c r="D1155" s="51" t="s">
        <v>313</v>
      </c>
      <c r="E1155" s="44"/>
      <c r="F1155" s="44"/>
      <c r="G1155" s="41">
        <f>G1154+1</f>
        <v>5034</v>
      </c>
      <c r="H1155" s="45">
        <f t="shared" si="93"/>
        <v>1</v>
      </c>
      <c r="I1155" s="47" t="s">
        <v>350</v>
      </c>
      <c r="J1155" s="48" t="s">
        <v>303</v>
      </c>
      <c r="K1155" s="41">
        <f>K1154+1</f>
        <v>5034</v>
      </c>
    </row>
    <row r="1156" spans="4:11" s="41" customFormat="1">
      <c r="D1156" s="51" t="s">
        <v>460</v>
      </c>
      <c r="E1156" s="44"/>
      <c r="F1156" s="44"/>
      <c r="G1156" s="41">
        <f>G1155+1</f>
        <v>5035</v>
      </c>
      <c r="H1156" s="45">
        <f t="shared" si="93"/>
        <v>2</v>
      </c>
      <c r="I1156" s="47" t="s">
        <v>351</v>
      </c>
      <c r="J1156" s="48" t="s">
        <v>10</v>
      </c>
      <c r="K1156" s="41">
        <v>5036</v>
      </c>
    </row>
    <row r="1157" spans="4:11" s="41" customFormat="1">
      <c r="D1157" s="51" t="s">
        <v>459</v>
      </c>
      <c r="E1157" s="44"/>
      <c r="F1157" s="44"/>
      <c r="G1157" s="41">
        <f>G1156+2</f>
        <v>5037</v>
      </c>
      <c r="H1157" s="45">
        <f t="shared" si="93"/>
        <v>2</v>
      </c>
      <c r="I1157" s="47" t="s">
        <v>351</v>
      </c>
      <c r="J1157" s="48" t="s">
        <v>403</v>
      </c>
      <c r="K1157" s="41">
        <f>K1156+2</f>
        <v>5038</v>
      </c>
    </row>
    <row r="1158" spans="4:11" s="41" customFormat="1">
      <c r="D1158" s="51" t="s">
        <v>302</v>
      </c>
      <c r="E1158" s="44"/>
      <c r="F1158" s="44"/>
      <c r="G1158" s="41">
        <f>G1157+2</f>
        <v>5039</v>
      </c>
      <c r="H1158" s="45">
        <f t="shared" si="93"/>
        <v>2</v>
      </c>
      <c r="I1158" s="47" t="s">
        <v>350</v>
      </c>
      <c r="J1158" s="48" t="s">
        <v>303</v>
      </c>
      <c r="K1158" s="41">
        <f>K1157+2</f>
        <v>5040</v>
      </c>
    </row>
    <row r="1159" spans="4:11" s="41" customFormat="1">
      <c r="D1159" s="51" t="s">
        <v>316</v>
      </c>
      <c r="E1159" s="44"/>
      <c r="F1159" s="44"/>
      <c r="G1159" s="41">
        <v>5041</v>
      </c>
      <c r="H1159" s="45">
        <f t="shared" si="93"/>
        <v>1</v>
      </c>
      <c r="I1159" s="47" t="s">
        <v>350</v>
      </c>
      <c r="J1159" s="48" t="s">
        <v>303</v>
      </c>
      <c r="K1159" s="41">
        <v>5041</v>
      </c>
    </row>
    <row r="1160" spans="4:11" s="41" customFormat="1">
      <c r="D1160" s="51" t="s">
        <v>315</v>
      </c>
      <c r="E1160" s="44"/>
      <c r="F1160" s="44"/>
      <c r="G1160" s="41">
        <v>5042</v>
      </c>
      <c r="H1160" s="45">
        <f t="shared" si="93"/>
        <v>1</v>
      </c>
      <c r="I1160" s="47" t="s">
        <v>350</v>
      </c>
      <c r="J1160" s="48" t="s">
        <v>303</v>
      </c>
      <c r="K1160" s="41">
        <f>K1159+1</f>
        <v>5042</v>
      </c>
    </row>
    <row r="1161" spans="4:11" s="41" customFormat="1">
      <c r="D1161" s="51" t="s">
        <v>314</v>
      </c>
      <c r="E1161" s="44"/>
      <c r="F1161" s="44"/>
      <c r="G1161" s="41">
        <f>G1160+1</f>
        <v>5043</v>
      </c>
      <c r="H1161" s="45">
        <f t="shared" si="93"/>
        <v>1</v>
      </c>
      <c r="I1161" s="47" t="s">
        <v>350</v>
      </c>
      <c r="J1161" s="48" t="s">
        <v>303</v>
      </c>
      <c r="K1161" s="41">
        <f>K1160+1</f>
        <v>5043</v>
      </c>
    </row>
    <row r="1162" spans="4:11" s="41" customFormat="1">
      <c r="D1162" s="51" t="s">
        <v>313</v>
      </c>
      <c r="E1162" s="44"/>
      <c r="F1162" s="44"/>
      <c r="G1162" s="41">
        <f>G1161+1</f>
        <v>5044</v>
      </c>
      <c r="H1162" s="45">
        <f t="shared" si="93"/>
        <v>1</v>
      </c>
      <c r="I1162" s="47" t="s">
        <v>350</v>
      </c>
      <c r="J1162" s="48" t="s">
        <v>303</v>
      </c>
      <c r="K1162" s="41">
        <f>K1161+1</f>
        <v>5044</v>
      </c>
    </row>
    <row r="1163" spans="4:11" s="41" customFormat="1">
      <c r="D1163" s="51" t="s">
        <v>458</v>
      </c>
      <c r="E1163" s="44"/>
      <c r="F1163" s="44"/>
      <c r="G1163" s="41">
        <f>G1162+1</f>
        <v>5045</v>
      </c>
      <c r="H1163" s="45">
        <f t="shared" ref="H1163:H1194" si="94">K1163-G1163+1</f>
        <v>2</v>
      </c>
      <c r="I1163" s="47" t="s">
        <v>351</v>
      </c>
      <c r="J1163" s="48" t="s">
        <v>10</v>
      </c>
      <c r="K1163" s="41">
        <v>5046</v>
      </c>
    </row>
    <row r="1164" spans="4:11" s="41" customFormat="1">
      <c r="D1164" s="51" t="s">
        <v>457</v>
      </c>
      <c r="E1164" s="44"/>
      <c r="F1164" s="44"/>
      <c r="G1164" s="41">
        <v>5047</v>
      </c>
      <c r="H1164" s="45">
        <f t="shared" si="94"/>
        <v>2</v>
      </c>
      <c r="I1164" s="47" t="s">
        <v>351</v>
      </c>
      <c r="J1164" s="48" t="s">
        <v>403</v>
      </c>
      <c r="K1164" s="41">
        <f>K1163+2</f>
        <v>5048</v>
      </c>
    </row>
    <row r="1165" spans="4:11" s="41" customFormat="1">
      <c r="D1165" s="51" t="s">
        <v>302</v>
      </c>
      <c r="E1165" s="44"/>
      <c r="F1165" s="44"/>
      <c r="G1165" s="41">
        <f>G1164+2</f>
        <v>5049</v>
      </c>
      <c r="H1165" s="45">
        <f t="shared" si="94"/>
        <v>2</v>
      </c>
      <c r="I1165" s="47" t="s">
        <v>350</v>
      </c>
      <c r="J1165" s="48" t="s">
        <v>303</v>
      </c>
      <c r="K1165" s="41">
        <f>K1164+2</f>
        <v>5050</v>
      </c>
    </row>
    <row r="1166" spans="4:11" s="41" customFormat="1">
      <c r="D1166" s="51" t="s">
        <v>316</v>
      </c>
      <c r="E1166" s="44"/>
      <c r="F1166" s="44"/>
      <c r="G1166" s="41">
        <v>5051</v>
      </c>
      <c r="H1166" s="45">
        <f t="shared" si="94"/>
        <v>1</v>
      </c>
      <c r="I1166" s="47" t="s">
        <v>350</v>
      </c>
      <c r="J1166" s="48" t="s">
        <v>303</v>
      </c>
      <c r="K1166" s="41">
        <v>5051</v>
      </c>
    </row>
    <row r="1167" spans="4:11" s="41" customFormat="1">
      <c r="D1167" s="51" t="s">
        <v>315</v>
      </c>
      <c r="E1167" s="44"/>
      <c r="F1167" s="44"/>
      <c r="G1167" s="41">
        <v>5052</v>
      </c>
      <c r="H1167" s="45">
        <f t="shared" si="94"/>
        <v>1</v>
      </c>
      <c r="I1167" s="47" t="s">
        <v>350</v>
      </c>
      <c r="J1167" s="48" t="s">
        <v>303</v>
      </c>
      <c r="K1167" s="41">
        <f>K1166+1</f>
        <v>5052</v>
      </c>
    </row>
    <row r="1168" spans="4:11" s="41" customFormat="1">
      <c r="D1168" s="51" t="s">
        <v>314</v>
      </c>
      <c r="E1168" s="44"/>
      <c r="F1168" s="44"/>
      <c r="G1168" s="41">
        <v>5053</v>
      </c>
      <c r="H1168" s="45">
        <f t="shared" si="94"/>
        <v>1</v>
      </c>
      <c r="I1168" s="47" t="s">
        <v>350</v>
      </c>
      <c r="J1168" s="48" t="s">
        <v>303</v>
      </c>
      <c r="K1168" s="41">
        <f>K1167+1</f>
        <v>5053</v>
      </c>
    </row>
    <row r="1169" spans="4:11" s="41" customFormat="1">
      <c r="D1169" s="51" t="s">
        <v>313</v>
      </c>
      <c r="E1169" s="44"/>
      <c r="F1169" s="44"/>
      <c r="G1169" s="41">
        <f>G1168+1</f>
        <v>5054</v>
      </c>
      <c r="H1169" s="45">
        <f t="shared" si="94"/>
        <v>1</v>
      </c>
      <c r="I1169" s="47" t="s">
        <v>350</v>
      </c>
      <c r="J1169" s="48" t="s">
        <v>303</v>
      </c>
      <c r="K1169" s="41">
        <f>K1168+1</f>
        <v>5054</v>
      </c>
    </row>
    <row r="1170" spans="4:11" s="41" customFormat="1">
      <c r="D1170" s="51" t="s">
        <v>456</v>
      </c>
      <c r="E1170" s="44"/>
      <c r="F1170" s="44"/>
      <c r="G1170" s="41">
        <f>G1169+1</f>
        <v>5055</v>
      </c>
      <c r="H1170" s="45">
        <f t="shared" si="94"/>
        <v>2</v>
      </c>
      <c r="I1170" s="47" t="s">
        <v>351</v>
      </c>
      <c r="J1170" s="48" t="s">
        <v>10</v>
      </c>
      <c r="K1170" s="41">
        <f>K1169+2</f>
        <v>5056</v>
      </c>
    </row>
    <row r="1171" spans="4:11" s="41" customFormat="1">
      <c r="D1171" s="51" t="s">
        <v>455</v>
      </c>
      <c r="E1171" s="44"/>
      <c r="F1171" s="44"/>
      <c r="G1171" s="41">
        <v>5057</v>
      </c>
      <c r="H1171" s="45">
        <f t="shared" si="94"/>
        <v>2</v>
      </c>
      <c r="I1171" s="47" t="s">
        <v>351</v>
      </c>
      <c r="J1171" s="48" t="s">
        <v>403</v>
      </c>
      <c r="K1171" s="41">
        <f>K1170+2</f>
        <v>5058</v>
      </c>
    </row>
    <row r="1172" spans="4:11" s="41" customFormat="1">
      <c r="D1172" s="51" t="s">
        <v>302</v>
      </c>
      <c r="E1172" s="44"/>
      <c r="F1172" s="44"/>
      <c r="G1172" s="41">
        <f>G1171+2</f>
        <v>5059</v>
      </c>
      <c r="H1172" s="45">
        <f t="shared" si="94"/>
        <v>2</v>
      </c>
      <c r="I1172" s="47" t="s">
        <v>350</v>
      </c>
      <c r="J1172" s="48" t="s">
        <v>303</v>
      </c>
      <c r="K1172" s="41">
        <f>K1171+2</f>
        <v>5060</v>
      </c>
    </row>
    <row r="1173" spans="4:11" s="41" customFormat="1">
      <c r="D1173" s="51" t="s">
        <v>316</v>
      </c>
      <c r="E1173" s="44"/>
      <c r="F1173" s="44"/>
      <c r="G1173" s="41">
        <f>G1172+2</f>
        <v>5061</v>
      </c>
      <c r="H1173" s="45">
        <f t="shared" si="94"/>
        <v>1</v>
      </c>
      <c r="I1173" s="47" t="s">
        <v>350</v>
      </c>
      <c r="J1173" s="48" t="s">
        <v>303</v>
      </c>
      <c r="K1173" s="41">
        <f>K1172+1</f>
        <v>5061</v>
      </c>
    </row>
    <row r="1174" spans="4:11" s="41" customFormat="1">
      <c r="D1174" s="51" t="s">
        <v>315</v>
      </c>
      <c r="E1174" s="44"/>
      <c r="F1174" s="44"/>
      <c r="G1174" s="41">
        <v>5062</v>
      </c>
      <c r="H1174" s="45">
        <f t="shared" si="94"/>
        <v>1</v>
      </c>
      <c r="I1174" s="47" t="s">
        <v>350</v>
      </c>
      <c r="J1174" s="48" t="s">
        <v>303</v>
      </c>
      <c r="K1174" s="41">
        <f>K1173+1</f>
        <v>5062</v>
      </c>
    </row>
    <row r="1175" spans="4:11" s="41" customFormat="1">
      <c r="D1175" s="51" t="s">
        <v>314</v>
      </c>
      <c r="E1175" s="44"/>
      <c r="F1175" s="44"/>
      <c r="G1175" s="41">
        <v>5063</v>
      </c>
      <c r="H1175" s="45">
        <f t="shared" si="94"/>
        <v>1</v>
      </c>
      <c r="I1175" s="47" t="s">
        <v>350</v>
      </c>
      <c r="J1175" s="48" t="s">
        <v>303</v>
      </c>
      <c r="K1175" s="41">
        <f>K1174+1</f>
        <v>5063</v>
      </c>
    </row>
    <row r="1176" spans="4:11" s="41" customFormat="1">
      <c r="D1176" s="51" t="s">
        <v>313</v>
      </c>
      <c r="E1176" s="44"/>
      <c r="F1176" s="44"/>
      <c r="G1176" s="41">
        <v>5064</v>
      </c>
      <c r="H1176" s="45">
        <f t="shared" si="94"/>
        <v>1</v>
      </c>
      <c r="I1176" s="47" t="s">
        <v>350</v>
      </c>
      <c r="J1176" s="48" t="s">
        <v>303</v>
      </c>
      <c r="K1176" s="41">
        <f>K1175+1</f>
        <v>5064</v>
      </c>
    </row>
    <row r="1177" spans="4:11" s="41" customFormat="1">
      <c r="D1177" s="51" t="s">
        <v>454</v>
      </c>
      <c r="E1177" s="44"/>
      <c r="F1177" s="44"/>
      <c r="G1177" s="41">
        <v>5065</v>
      </c>
      <c r="H1177" s="45">
        <f t="shared" si="94"/>
        <v>2</v>
      </c>
      <c r="I1177" s="47" t="s">
        <v>351</v>
      </c>
      <c r="J1177" s="48" t="s">
        <v>10</v>
      </c>
      <c r="K1177" s="41">
        <f>K1176+2</f>
        <v>5066</v>
      </c>
    </row>
    <row r="1178" spans="4:11" s="41" customFormat="1">
      <c r="D1178" s="51" t="s">
        <v>453</v>
      </c>
      <c r="E1178" s="44"/>
      <c r="F1178" s="44"/>
      <c r="G1178" s="41">
        <v>5067</v>
      </c>
      <c r="H1178" s="45">
        <f t="shared" si="94"/>
        <v>2</v>
      </c>
      <c r="I1178" s="47" t="s">
        <v>351</v>
      </c>
      <c r="J1178" s="48" t="s">
        <v>403</v>
      </c>
      <c r="K1178" s="41">
        <f>K1177+2</f>
        <v>5068</v>
      </c>
    </row>
    <row r="1179" spans="4:11" s="41" customFormat="1">
      <c r="D1179" s="51" t="s">
        <v>302</v>
      </c>
      <c r="E1179" s="44"/>
      <c r="F1179" s="44"/>
      <c r="G1179" s="41">
        <v>5069</v>
      </c>
      <c r="H1179" s="45">
        <f t="shared" si="94"/>
        <v>2</v>
      </c>
      <c r="I1179" s="47" t="s">
        <v>350</v>
      </c>
      <c r="J1179" s="48" t="s">
        <v>303</v>
      </c>
      <c r="K1179" s="41">
        <f>K1178+2</f>
        <v>5070</v>
      </c>
    </row>
    <row r="1180" spans="4:11" s="41" customFormat="1">
      <c r="D1180" s="51" t="s">
        <v>316</v>
      </c>
      <c r="E1180" s="44"/>
      <c r="F1180" s="44"/>
      <c r="G1180" s="41">
        <v>5071</v>
      </c>
      <c r="H1180" s="45">
        <f t="shared" si="94"/>
        <v>1</v>
      </c>
      <c r="I1180" s="47" t="s">
        <v>350</v>
      </c>
      <c r="J1180" s="48" t="s">
        <v>303</v>
      </c>
      <c r="K1180" s="41">
        <v>5071</v>
      </c>
    </row>
    <row r="1181" spans="4:11" s="41" customFormat="1">
      <c r="D1181" s="51" t="s">
        <v>315</v>
      </c>
      <c r="E1181" s="44"/>
      <c r="F1181" s="44"/>
      <c r="G1181" s="41">
        <v>5072</v>
      </c>
      <c r="H1181" s="45">
        <f t="shared" si="94"/>
        <v>1</v>
      </c>
      <c r="I1181" s="47" t="s">
        <v>350</v>
      </c>
      <c r="J1181" s="48" t="s">
        <v>303</v>
      </c>
      <c r="K1181" s="41">
        <v>5072</v>
      </c>
    </row>
    <row r="1182" spans="4:11" s="41" customFormat="1">
      <c r="D1182" s="51" t="s">
        <v>314</v>
      </c>
      <c r="E1182" s="44"/>
      <c r="F1182" s="44"/>
      <c r="G1182" s="41">
        <v>5073</v>
      </c>
      <c r="H1182" s="45">
        <f t="shared" si="94"/>
        <v>1</v>
      </c>
      <c r="I1182" s="47" t="s">
        <v>350</v>
      </c>
      <c r="J1182" s="48" t="s">
        <v>303</v>
      </c>
      <c r="K1182" s="41">
        <v>5073</v>
      </c>
    </row>
    <row r="1183" spans="4:11" s="41" customFormat="1">
      <c r="D1183" s="51" t="s">
        <v>313</v>
      </c>
      <c r="E1183" s="44"/>
      <c r="F1183" s="44"/>
      <c r="G1183" s="41">
        <v>5074</v>
      </c>
      <c r="H1183" s="45">
        <f t="shared" si="94"/>
        <v>1</v>
      </c>
      <c r="I1183" s="47" t="s">
        <v>350</v>
      </c>
      <c r="J1183" s="48" t="s">
        <v>303</v>
      </c>
      <c r="K1183" s="41">
        <v>5074</v>
      </c>
    </row>
    <row r="1184" spans="4:11" s="41" customFormat="1">
      <c r="D1184" s="51" t="s">
        <v>452</v>
      </c>
      <c r="E1184" s="44"/>
      <c r="F1184" s="44"/>
      <c r="G1184" s="41">
        <v>5075</v>
      </c>
      <c r="H1184" s="45">
        <f t="shared" si="94"/>
        <v>2</v>
      </c>
      <c r="I1184" s="47" t="s">
        <v>351</v>
      </c>
      <c r="J1184" s="48" t="s">
        <v>10</v>
      </c>
      <c r="K1184" s="41">
        <v>5076</v>
      </c>
    </row>
    <row r="1185" spans="4:11" s="41" customFormat="1">
      <c r="D1185" s="51" t="s">
        <v>451</v>
      </c>
      <c r="E1185" s="44"/>
      <c r="F1185" s="44"/>
      <c r="G1185" s="41">
        <v>5077</v>
      </c>
      <c r="H1185" s="45">
        <f t="shared" si="94"/>
        <v>2</v>
      </c>
      <c r="I1185" s="47" t="s">
        <v>351</v>
      </c>
      <c r="J1185" s="48" t="s">
        <v>403</v>
      </c>
      <c r="K1185" s="41">
        <v>5078</v>
      </c>
    </row>
    <row r="1186" spans="4:11" s="41" customFormat="1">
      <c r="D1186" s="51" t="s">
        <v>302</v>
      </c>
      <c r="E1186" s="44"/>
      <c r="F1186" s="44"/>
      <c r="G1186" s="41">
        <v>5079</v>
      </c>
      <c r="H1186" s="45">
        <f t="shared" si="94"/>
        <v>2</v>
      </c>
      <c r="I1186" s="47" t="s">
        <v>350</v>
      </c>
      <c r="J1186" s="48" t="s">
        <v>303</v>
      </c>
      <c r="K1186" s="41">
        <v>5080</v>
      </c>
    </row>
    <row r="1187" spans="4:11" s="41" customFormat="1">
      <c r="D1187" s="51" t="s">
        <v>316</v>
      </c>
      <c r="E1187" s="44"/>
      <c r="F1187" s="44"/>
      <c r="G1187" s="41">
        <v>5081</v>
      </c>
      <c r="H1187" s="45">
        <f t="shared" si="94"/>
        <v>1</v>
      </c>
      <c r="I1187" s="47" t="s">
        <v>350</v>
      </c>
      <c r="J1187" s="48" t="s">
        <v>303</v>
      </c>
      <c r="K1187" s="41">
        <v>5081</v>
      </c>
    </row>
    <row r="1188" spans="4:11" s="41" customFormat="1">
      <c r="D1188" s="51" t="s">
        <v>315</v>
      </c>
      <c r="E1188" s="44"/>
      <c r="F1188" s="44"/>
      <c r="G1188" s="41">
        <v>5082</v>
      </c>
      <c r="H1188" s="45">
        <f t="shared" si="94"/>
        <v>1</v>
      </c>
      <c r="I1188" s="47" t="s">
        <v>350</v>
      </c>
      <c r="J1188" s="48" t="s">
        <v>303</v>
      </c>
      <c r="K1188" s="41">
        <v>5082</v>
      </c>
    </row>
    <row r="1189" spans="4:11" s="41" customFormat="1">
      <c r="D1189" s="51" t="s">
        <v>314</v>
      </c>
      <c r="E1189" s="44"/>
      <c r="F1189" s="44"/>
      <c r="G1189" s="41">
        <v>5083</v>
      </c>
      <c r="H1189" s="45">
        <f t="shared" si="94"/>
        <v>1</v>
      </c>
      <c r="I1189" s="47" t="s">
        <v>350</v>
      </c>
      <c r="J1189" s="48" t="s">
        <v>303</v>
      </c>
      <c r="K1189" s="41">
        <v>5083</v>
      </c>
    </row>
    <row r="1190" spans="4:11" s="41" customFormat="1">
      <c r="D1190" s="51" t="s">
        <v>313</v>
      </c>
      <c r="E1190" s="44"/>
      <c r="F1190" s="44"/>
      <c r="G1190" s="41">
        <v>5084</v>
      </c>
      <c r="H1190" s="45">
        <f t="shared" si="94"/>
        <v>1</v>
      </c>
      <c r="I1190" s="47" t="s">
        <v>350</v>
      </c>
      <c r="J1190" s="48" t="s">
        <v>303</v>
      </c>
      <c r="K1190" s="41">
        <v>5084</v>
      </c>
    </row>
    <row r="1191" spans="4:11" s="41" customFormat="1">
      <c r="D1191" s="51" t="s">
        <v>450</v>
      </c>
      <c r="E1191" s="44"/>
      <c r="F1191" s="44"/>
      <c r="G1191" s="41">
        <v>5085</v>
      </c>
      <c r="H1191" s="45">
        <f t="shared" si="94"/>
        <v>2</v>
      </c>
      <c r="I1191" s="47" t="s">
        <v>351</v>
      </c>
      <c r="J1191" s="48" t="s">
        <v>10</v>
      </c>
      <c r="K1191" s="41">
        <v>5086</v>
      </c>
    </row>
    <row r="1192" spans="4:11" s="41" customFormat="1">
      <c r="D1192" s="51" t="s">
        <v>449</v>
      </c>
      <c r="E1192" s="44"/>
      <c r="F1192" s="44"/>
      <c r="G1192" s="41">
        <v>5087</v>
      </c>
      <c r="H1192" s="45">
        <f t="shared" si="94"/>
        <v>2</v>
      </c>
      <c r="I1192" s="47" t="s">
        <v>351</v>
      </c>
      <c r="J1192" s="48" t="s">
        <v>403</v>
      </c>
      <c r="K1192" s="41">
        <v>5088</v>
      </c>
    </row>
    <row r="1193" spans="4:11" s="41" customFormat="1">
      <c r="D1193" s="51" t="s">
        <v>302</v>
      </c>
      <c r="E1193" s="44"/>
      <c r="F1193" s="44"/>
      <c r="G1193" s="41">
        <v>5089</v>
      </c>
      <c r="H1193" s="45">
        <f t="shared" si="94"/>
        <v>2</v>
      </c>
      <c r="I1193" s="47" t="s">
        <v>350</v>
      </c>
      <c r="J1193" s="48" t="s">
        <v>303</v>
      </c>
      <c r="K1193" s="41">
        <v>5090</v>
      </c>
    </row>
    <row r="1194" spans="4:11" s="41" customFormat="1">
      <c r="D1194" s="51" t="s">
        <v>316</v>
      </c>
      <c r="E1194" s="44"/>
      <c r="F1194" s="44"/>
      <c r="G1194" s="41">
        <v>5091</v>
      </c>
      <c r="H1194" s="45">
        <f t="shared" si="94"/>
        <v>1</v>
      </c>
      <c r="I1194" s="47" t="s">
        <v>350</v>
      </c>
      <c r="J1194" s="48" t="s">
        <v>303</v>
      </c>
      <c r="K1194" s="41">
        <v>5091</v>
      </c>
    </row>
    <row r="1195" spans="4:11" s="41" customFormat="1">
      <c r="D1195" s="51" t="s">
        <v>315</v>
      </c>
      <c r="E1195" s="44"/>
      <c r="F1195" s="44"/>
      <c r="G1195" s="41">
        <v>5092</v>
      </c>
      <c r="H1195" s="45">
        <f t="shared" ref="H1195:H1200" si="95">K1195-G1195+1</f>
        <v>1</v>
      </c>
      <c r="I1195" s="47" t="s">
        <v>350</v>
      </c>
      <c r="J1195" s="48" t="s">
        <v>303</v>
      </c>
      <c r="K1195" s="41">
        <v>5092</v>
      </c>
    </row>
    <row r="1196" spans="4:11" s="41" customFormat="1">
      <c r="D1196" s="51" t="s">
        <v>314</v>
      </c>
      <c r="E1196" s="44"/>
      <c r="F1196" s="44"/>
      <c r="G1196" s="41">
        <v>5093</v>
      </c>
      <c r="H1196" s="45">
        <f t="shared" si="95"/>
        <v>1</v>
      </c>
      <c r="I1196" s="47" t="s">
        <v>350</v>
      </c>
      <c r="J1196" s="48" t="s">
        <v>303</v>
      </c>
      <c r="K1196" s="41">
        <v>5093</v>
      </c>
    </row>
    <row r="1197" spans="4:11" s="41" customFormat="1">
      <c r="D1197" s="51" t="s">
        <v>313</v>
      </c>
      <c r="E1197" s="44"/>
      <c r="F1197" s="44"/>
      <c r="G1197" s="41">
        <v>5094</v>
      </c>
      <c r="H1197" s="45">
        <f t="shared" si="95"/>
        <v>1</v>
      </c>
      <c r="I1197" s="47" t="s">
        <v>350</v>
      </c>
      <c r="J1197" s="48" t="s">
        <v>303</v>
      </c>
      <c r="K1197" s="41">
        <v>5094</v>
      </c>
    </row>
    <row r="1198" spans="4:11" s="41" customFormat="1">
      <c r="D1198" s="51" t="s">
        <v>448</v>
      </c>
      <c r="E1198" s="44"/>
      <c r="F1198" s="44"/>
      <c r="G1198" s="41">
        <v>5095</v>
      </c>
      <c r="H1198" s="45">
        <f t="shared" si="95"/>
        <v>2</v>
      </c>
      <c r="I1198" s="47" t="s">
        <v>351</v>
      </c>
      <c r="J1198" s="48" t="s">
        <v>10</v>
      </c>
      <c r="K1198" s="41">
        <v>5096</v>
      </c>
    </row>
    <row r="1199" spans="4:11" s="41" customFormat="1">
      <c r="D1199" s="51" t="s">
        <v>447</v>
      </c>
      <c r="E1199" s="44"/>
      <c r="F1199" s="44"/>
      <c r="G1199" s="41">
        <v>5097</v>
      </c>
      <c r="H1199" s="45">
        <f t="shared" si="95"/>
        <v>2</v>
      </c>
      <c r="I1199" s="47" t="s">
        <v>351</v>
      </c>
      <c r="J1199" s="48" t="s">
        <v>403</v>
      </c>
      <c r="K1199" s="41">
        <v>5098</v>
      </c>
    </row>
    <row r="1200" spans="4:11" s="41" customFormat="1">
      <c r="D1200" s="51" t="s">
        <v>302</v>
      </c>
      <c r="E1200" s="44"/>
      <c r="F1200" s="44"/>
      <c r="G1200" s="41">
        <v>5099</v>
      </c>
      <c r="H1200" s="45">
        <f t="shared" si="95"/>
        <v>1</v>
      </c>
      <c r="I1200" s="47" t="s">
        <v>350</v>
      </c>
      <c r="J1200" s="48" t="s">
        <v>303</v>
      </c>
      <c r="K1200" s="41">
        <v>5099</v>
      </c>
    </row>
    <row r="1201" spans="1:12" s="41" customFormat="1">
      <c r="D1201" s="51"/>
      <c r="E1201" s="44"/>
      <c r="F1201" s="44"/>
      <c r="H1201" s="44"/>
      <c r="I1201" s="44"/>
      <c r="J1201" s="48"/>
    </row>
    <row r="1202" spans="1:12" s="43" customFormat="1">
      <c r="A1202" s="42"/>
      <c r="B1202" s="42" t="s">
        <v>446</v>
      </c>
      <c r="C1202" s="42" t="s">
        <v>445</v>
      </c>
      <c r="D1202" s="54"/>
      <c r="E1202" s="46"/>
      <c r="F1202" s="46"/>
      <c r="G1202" s="42"/>
      <c r="H1202" s="45"/>
      <c r="I1202" s="46"/>
      <c r="J1202" s="49"/>
      <c r="K1202" s="42"/>
      <c r="L1202" s="42"/>
    </row>
    <row r="1203" spans="1:12" s="41" customFormat="1">
      <c r="D1203" s="51" t="s">
        <v>316</v>
      </c>
      <c r="E1203" s="44"/>
      <c r="F1203" s="44"/>
      <c r="G1203" s="41">
        <v>5201</v>
      </c>
      <c r="H1203" s="45">
        <f t="shared" ref="H1203:H1234" si="96">K1203-G1203+1</f>
        <v>1</v>
      </c>
      <c r="I1203" s="47" t="s">
        <v>350</v>
      </c>
      <c r="J1203" s="48" t="s">
        <v>303</v>
      </c>
      <c r="K1203" s="41">
        <v>5201</v>
      </c>
    </row>
    <row r="1204" spans="1:12" s="41" customFormat="1">
      <c r="D1204" s="51" t="s">
        <v>315</v>
      </c>
      <c r="E1204" s="44"/>
      <c r="F1204" s="44"/>
      <c r="G1204" s="41">
        <v>5202</v>
      </c>
      <c r="H1204" s="45">
        <f t="shared" si="96"/>
        <v>1</v>
      </c>
      <c r="I1204" s="47" t="s">
        <v>350</v>
      </c>
      <c r="J1204" s="48" t="s">
        <v>303</v>
      </c>
      <c r="K1204" s="41">
        <v>5202</v>
      </c>
    </row>
    <row r="1205" spans="1:12" s="41" customFormat="1">
      <c r="D1205" s="51" t="s">
        <v>314</v>
      </c>
      <c r="E1205" s="44"/>
      <c r="F1205" s="44"/>
      <c r="G1205" s="41">
        <v>5203</v>
      </c>
      <c r="H1205" s="45">
        <f t="shared" si="96"/>
        <v>1</v>
      </c>
      <c r="I1205" s="47" t="s">
        <v>350</v>
      </c>
      <c r="J1205" s="48" t="s">
        <v>303</v>
      </c>
      <c r="K1205" s="41">
        <v>5203</v>
      </c>
    </row>
    <row r="1206" spans="1:12" s="41" customFormat="1">
      <c r="D1206" s="51" t="s">
        <v>313</v>
      </c>
      <c r="E1206" s="44"/>
      <c r="F1206" s="44"/>
      <c r="G1206" s="41">
        <v>5204</v>
      </c>
      <c r="H1206" s="45">
        <f t="shared" si="96"/>
        <v>1</v>
      </c>
      <c r="I1206" s="47" t="s">
        <v>350</v>
      </c>
      <c r="J1206" s="48" t="s">
        <v>303</v>
      </c>
      <c r="K1206" s="41">
        <v>5204</v>
      </c>
    </row>
    <row r="1207" spans="1:12" s="41" customFormat="1">
      <c r="D1207" s="51" t="s">
        <v>444</v>
      </c>
      <c r="E1207" s="44"/>
      <c r="F1207" s="44"/>
      <c r="G1207" s="41">
        <v>5205</v>
      </c>
      <c r="H1207" s="45">
        <f t="shared" si="96"/>
        <v>2</v>
      </c>
      <c r="I1207" s="47" t="s">
        <v>350</v>
      </c>
      <c r="J1207" s="48" t="s">
        <v>10</v>
      </c>
      <c r="K1207" s="41">
        <v>5206</v>
      </c>
    </row>
    <row r="1208" spans="1:12" s="41" customFormat="1">
      <c r="D1208" s="51" t="s">
        <v>443</v>
      </c>
      <c r="E1208" s="44"/>
      <c r="F1208" s="44"/>
      <c r="G1208" s="41">
        <v>5207</v>
      </c>
      <c r="H1208" s="45">
        <f t="shared" si="96"/>
        <v>2</v>
      </c>
      <c r="I1208" s="47" t="s">
        <v>350</v>
      </c>
      <c r="J1208" s="48" t="s">
        <v>403</v>
      </c>
      <c r="K1208" s="41">
        <v>5208</v>
      </c>
    </row>
    <row r="1209" spans="1:12" s="41" customFormat="1">
      <c r="D1209" s="51" t="s">
        <v>302</v>
      </c>
      <c r="E1209" s="44"/>
      <c r="F1209" s="44"/>
      <c r="G1209" s="41">
        <v>5209</v>
      </c>
      <c r="H1209" s="45">
        <f t="shared" si="96"/>
        <v>2</v>
      </c>
      <c r="I1209" s="47" t="s">
        <v>350</v>
      </c>
      <c r="J1209" s="48" t="s">
        <v>303</v>
      </c>
      <c r="K1209" s="41">
        <v>5210</v>
      </c>
    </row>
    <row r="1210" spans="1:12" s="41" customFormat="1">
      <c r="D1210" s="51" t="s">
        <v>316</v>
      </c>
      <c r="E1210" s="44"/>
      <c r="F1210" s="44"/>
      <c r="G1210" s="41">
        <v>5211</v>
      </c>
      <c r="H1210" s="45">
        <f t="shared" si="96"/>
        <v>1</v>
      </c>
      <c r="I1210" s="47" t="s">
        <v>350</v>
      </c>
      <c r="J1210" s="48" t="s">
        <v>303</v>
      </c>
      <c r="K1210" s="41">
        <v>5211</v>
      </c>
    </row>
    <row r="1211" spans="1:12" s="41" customFormat="1">
      <c r="D1211" s="51" t="s">
        <v>315</v>
      </c>
      <c r="E1211" s="44"/>
      <c r="F1211" s="44"/>
      <c r="G1211" s="41">
        <v>5212</v>
      </c>
      <c r="H1211" s="45">
        <f t="shared" si="96"/>
        <v>1</v>
      </c>
      <c r="I1211" s="47" t="s">
        <v>350</v>
      </c>
      <c r="J1211" s="48" t="s">
        <v>303</v>
      </c>
      <c r="K1211" s="41">
        <v>5212</v>
      </c>
    </row>
    <row r="1212" spans="1:12" s="41" customFormat="1">
      <c r="D1212" s="51" t="s">
        <v>314</v>
      </c>
      <c r="E1212" s="44"/>
      <c r="F1212" s="44"/>
      <c r="G1212" s="41">
        <v>5213</v>
      </c>
      <c r="H1212" s="45">
        <f t="shared" si="96"/>
        <v>1</v>
      </c>
      <c r="I1212" s="47" t="s">
        <v>350</v>
      </c>
      <c r="J1212" s="48" t="s">
        <v>303</v>
      </c>
      <c r="K1212" s="41">
        <v>5213</v>
      </c>
    </row>
    <row r="1213" spans="1:12" s="41" customFormat="1">
      <c r="D1213" s="51" t="s">
        <v>313</v>
      </c>
      <c r="E1213" s="44"/>
      <c r="F1213" s="44"/>
      <c r="G1213" s="41">
        <v>5214</v>
      </c>
      <c r="H1213" s="45">
        <f t="shared" si="96"/>
        <v>1</v>
      </c>
      <c r="I1213" s="47" t="s">
        <v>350</v>
      </c>
      <c r="J1213" s="48" t="s">
        <v>303</v>
      </c>
      <c r="K1213" s="41">
        <v>5214</v>
      </c>
    </row>
    <row r="1214" spans="1:12" s="41" customFormat="1">
      <c r="D1214" s="51" t="s">
        <v>442</v>
      </c>
      <c r="E1214" s="44"/>
      <c r="F1214" s="44"/>
      <c r="G1214" s="41">
        <v>5215</v>
      </c>
      <c r="H1214" s="45">
        <f t="shared" si="96"/>
        <v>2</v>
      </c>
      <c r="I1214" s="47" t="s">
        <v>350</v>
      </c>
      <c r="J1214" s="48" t="s">
        <v>10</v>
      </c>
      <c r="K1214" s="41">
        <v>5216</v>
      </c>
    </row>
    <row r="1215" spans="1:12" s="41" customFormat="1">
      <c r="D1215" s="51" t="s">
        <v>441</v>
      </c>
      <c r="E1215" s="44"/>
      <c r="F1215" s="44"/>
      <c r="G1215" s="41">
        <v>5217</v>
      </c>
      <c r="H1215" s="45">
        <f t="shared" si="96"/>
        <v>2</v>
      </c>
      <c r="I1215" s="47" t="s">
        <v>350</v>
      </c>
      <c r="J1215" s="48" t="s">
        <v>403</v>
      </c>
      <c r="K1215" s="41">
        <v>5218</v>
      </c>
    </row>
    <row r="1216" spans="1:12" s="41" customFormat="1">
      <c r="D1216" s="51" t="s">
        <v>302</v>
      </c>
      <c r="E1216" s="44"/>
      <c r="F1216" s="44"/>
      <c r="G1216" s="41">
        <v>5219</v>
      </c>
      <c r="H1216" s="45">
        <f t="shared" si="96"/>
        <v>2</v>
      </c>
      <c r="I1216" s="47" t="s">
        <v>350</v>
      </c>
      <c r="J1216" s="48" t="s">
        <v>303</v>
      </c>
      <c r="K1216" s="41">
        <v>5220</v>
      </c>
    </row>
    <row r="1217" spans="4:11" s="41" customFormat="1">
      <c r="D1217" s="51" t="s">
        <v>316</v>
      </c>
      <c r="E1217" s="44"/>
      <c r="F1217" s="44"/>
      <c r="G1217" s="41">
        <v>5221</v>
      </c>
      <c r="H1217" s="45">
        <f t="shared" si="96"/>
        <v>1</v>
      </c>
      <c r="I1217" s="47" t="s">
        <v>350</v>
      </c>
      <c r="J1217" s="48" t="s">
        <v>303</v>
      </c>
      <c r="K1217" s="41">
        <v>5221</v>
      </c>
    </row>
    <row r="1218" spans="4:11" s="41" customFormat="1">
      <c r="D1218" s="51" t="s">
        <v>315</v>
      </c>
      <c r="E1218" s="44"/>
      <c r="F1218" s="44"/>
      <c r="G1218" s="41">
        <v>5222</v>
      </c>
      <c r="H1218" s="45">
        <f t="shared" si="96"/>
        <v>1</v>
      </c>
      <c r="I1218" s="47" t="s">
        <v>350</v>
      </c>
      <c r="J1218" s="48" t="s">
        <v>303</v>
      </c>
      <c r="K1218" s="41">
        <v>5222</v>
      </c>
    </row>
    <row r="1219" spans="4:11" s="41" customFormat="1">
      <c r="D1219" s="51" t="s">
        <v>314</v>
      </c>
      <c r="E1219" s="44"/>
      <c r="F1219" s="44"/>
      <c r="G1219" s="41">
        <v>5223</v>
      </c>
      <c r="H1219" s="45">
        <f t="shared" si="96"/>
        <v>1</v>
      </c>
      <c r="I1219" s="47" t="s">
        <v>350</v>
      </c>
      <c r="J1219" s="48" t="s">
        <v>303</v>
      </c>
      <c r="K1219" s="41">
        <v>5223</v>
      </c>
    </row>
    <row r="1220" spans="4:11" s="41" customFormat="1">
      <c r="D1220" s="51" t="s">
        <v>313</v>
      </c>
      <c r="E1220" s="44"/>
      <c r="F1220" s="44"/>
      <c r="G1220" s="41">
        <v>5224</v>
      </c>
      <c r="H1220" s="45">
        <f t="shared" si="96"/>
        <v>1</v>
      </c>
      <c r="I1220" s="47" t="s">
        <v>350</v>
      </c>
      <c r="J1220" s="48" t="s">
        <v>303</v>
      </c>
      <c r="K1220" s="41">
        <v>5224</v>
      </c>
    </row>
    <row r="1221" spans="4:11" s="41" customFormat="1">
      <c r="D1221" s="51" t="s">
        <v>440</v>
      </c>
      <c r="E1221" s="44"/>
      <c r="F1221" s="44"/>
      <c r="G1221" s="41">
        <v>5225</v>
      </c>
      <c r="H1221" s="45">
        <f t="shared" si="96"/>
        <v>2</v>
      </c>
      <c r="I1221" s="47" t="s">
        <v>350</v>
      </c>
      <c r="J1221" s="48" t="s">
        <v>10</v>
      </c>
      <c r="K1221" s="41">
        <v>5226</v>
      </c>
    </row>
    <row r="1222" spans="4:11" s="41" customFormat="1">
      <c r="D1222" s="51" t="s">
        <v>439</v>
      </c>
      <c r="E1222" s="44"/>
      <c r="F1222" s="44"/>
      <c r="G1222" s="41">
        <v>5227</v>
      </c>
      <c r="H1222" s="45">
        <f t="shared" si="96"/>
        <v>2</v>
      </c>
      <c r="I1222" s="47" t="s">
        <v>350</v>
      </c>
      <c r="J1222" s="48" t="s">
        <v>403</v>
      </c>
      <c r="K1222" s="41">
        <v>5228</v>
      </c>
    </row>
    <row r="1223" spans="4:11" s="41" customFormat="1">
      <c r="D1223" s="51" t="s">
        <v>302</v>
      </c>
      <c r="E1223" s="44"/>
      <c r="F1223" s="44"/>
      <c r="G1223" s="41">
        <v>5229</v>
      </c>
      <c r="H1223" s="45">
        <f t="shared" si="96"/>
        <v>2</v>
      </c>
      <c r="I1223" s="47" t="s">
        <v>350</v>
      </c>
      <c r="J1223" s="48" t="s">
        <v>303</v>
      </c>
      <c r="K1223" s="41">
        <v>5230</v>
      </c>
    </row>
    <row r="1224" spans="4:11" s="41" customFormat="1">
      <c r="D1224" s="51" t="s">
        <v>316</v>
      </c>
      <c r="E1224" s="44"/>
      <c r="F1224" s="44"/>
      <c r="G1224" s="41">
        <v>5231</v>
      </c>
      <c r="H1224" s="45">
        <f t="shared" si="96"/>
        <v>1</v>
      </c>
      <c r="I1224" s="47" t="s">
        <v>350</v>
      </c>
      <c r="J1224" s="48" t="s">
        <v>303</v>
      </c>
      <c r="K1224" s="41">
        <v>5231</v>
      </c>
    </row>
    <row r="1225" spans="4:11" s="41" customFormat="1">
      <c r="D1225" s="51" t="s">
        <v>315</v>
      </c>
      <c r="E1225" s="44"/>
      <c r="F1225" s="44"/>
      <c r="G1225" s="41">
        <v>5232</v>
      </c>
      <c r="H1225" s="45">
        <f t="shared" si="96"/>
        <v>1</v>
      </c>
      <c r="I1225" s="47" t="s">
        <v>350</v>
      </c>
      <c r="J1225" s="48" t="s">
        <v>303</v>
      </c>
      <c r="K1225" s="41">
        <v>5232</v>
      </c>
    </row>
    <row r="1226" spans="4:11" s="41" customFormat="1">
      <c r="D1226" s="51" t="s">
        <v>314</v>
      </c>
      <c r="E1226" s="44"/>
      <c r="F1226" s="44"/>
      <c r="G1226" s="41">
        <v>5233</v>
      </c>
      <c r="H1226" s="45">
        <f t="shared" si="96"/>
        <v>1</v>
      </c>
      <c r="I1226" s="47" t="s">
        <v>350</v>
      </c>
      <c r="J1226" s="48" t="s">
        <v>303</v>
      </c>
      <c r="K1226" s="41">
        <v>5233</v>
      </c>
    </row>
    <row r="1227" spans="4:11" s="41" customFormat="1">
      <c r="D1227" s="51" t="s">
        <v>313</v>
      </c>
      <c r="E1227" s="44"/>
      <c r="F1227" s="44"/>
      <c r="G1227" s="41">
        <v>5234</v>
      </c>
      <c r="H1227" s="45">
        <f t="shared" si="96"/>
        <v>1</v>
      </c>
      <c r="I1227" s="47" t="s">
        <v>350</v>
      </c>
      <c r="J1227" s="48" t="s">
        <v>303</v>
      </c>
      <c r="K1227" s="41">
        <v>5234</v>
      </c>
    </row>
    <row r="1228" spans="4:11" s="41" customFormat="1">
      <c r="D1228" s="51" t="s">
        <v>438</v>
      </c>
      <c r="E1228" s="44"/>
      <c r="F1228" s="44"/>
      <c r="G1228" s="41">
        <v>5235</v>
      </c>
      <c r="H1228" s="45">
        <f t="shared" si="96"/>
        <v>2</v>
      </c>
      <c r="I1228" s="47" t="s">
        <v>350</v>
      </c>
      <c r="J1228" s="48" t="s">
        <v>10</v>
      </c>
      <c r="K1228" s="41">
        <v>5236</v>
      </c>
    </row>
    <row r="1229" spans="4:11" s="41" customFormat="1">
      <c r="D1229" s="51" t="s">
        <v>437</v>
      </c>
      <c r="E1229" s="44"/>
      <c r="F1229" s="44"/>
      <c r="G1229" s="41">
        <v>5237</v>
      </c>
      <c r="H1229" s="45">
        <f t="shared" si="96"/>
        <v>2</v>
      </c>
      <c r="I1229" s="47" t="s">
        <v>350</v>
      </c>
      <c r="J1229" s="48" t="s">
        <v>403</v>
      </c>
      <c r="K1229" s="41">
        <v>5238</v>
      </c>
    </row>
    <row r="1230" spans="4:11" s="41" customFormat="1">
      <c r="D1230" s="51" t="s">
        <v>302</v>
      </c>
      <c r="E1230" s="44"/>
      <c r="F1230" s="44"/>
      <c r="G1230" s="41">
        <v>5239</v>
      </c>
      <c r="H1230" s="45">
        <f t="shared" si="96"/>
        <v>2</v>
      </c>
      <c r="I1230" s="47" t="s">
        <v>350</v>
      </c>
      <c r="J1230" s="48" t="s">
        <v>303</v>
      </c>
      <c r="K1230" s="41">
        <v>5240</v>
      </c>
    </row>
    <row r="1231" spans="4:11" s="41" customFormat="1">
      <c r="D1231" s="51" t="s">
        <v>316</v>
      </c>
      <c r="E1231" s="44"/>
      <c r="F1231" s="44"/>
      <c r="G1231" s="41">
        <v>5241</v>
      </c>
      <c r="H1231" s="45">
        <f t="shared" si="96"/>
        <v>1</v>
      </c>
      <c r="I1231" s="47" t="s">
        <v>350</v>
      </c>
      <c r="J1231" s="48" t="s">
        <v>303</v>
      </c>
      <c r="K1231" s="41">
        <v>5241</v>
      </c>
    </row>
    <row r="1232" spans="4:11" s="41" customFormat="1">
      <c r="D1232" s="51" t="s">
        <v>315</v>
      </c>
      <c r="E1232" s="44"/>
      <c r="F1232" s="44"/>
      <c r="G1232" s="41">
        <v>5242</v>
      </c>
      <c r="H1232" s="45">
        <f t="shared" si="96"/>
        <v>1</v>
      </c>
      <c r="I1232" s="47" t="s">
        <v>350</v>
      </c>
      <c r="J1232" s="48" t="s">
        <v>303</v>
      </c>
      <c r="K1232" s="41">
        <v>5242</v>
      </c>
    </row>
    <row r="1233" spans="4:11" s="41" customFormat="1">
      <c r="D1233" s="51" t="s">
        <v>314</v>
      </c>
      <c r="E1233" s="44"/>
      <c r="F1233" s="44"/>
      <c r="G1233" s="41">
        <v>5243</v>
      </c>
      <c r="H1233" s="45">
        <f t="shared" si="96"/>
        <v>1</v>
      </c>
      <c r="I1233" s="47" t="s">
        <v>350</v>
      </c>
      <c r="J1233" s="48" t="s">
        <v>303</v>
      </c>
      <c r="K1233" s="41">
        <v>5243</v>
      </c>
    </row>
    <row r="1234" spans="4:11" s="41" customFormat="1">
      <c r="D1234" s="51" t="s">
        <v>313</v>
      </c>
      <c r="E1234" s="44"/>
      <c r="F1234" s="44"/>
      <c r="G1234" s="41">
        <v>5244</v>
      </c>
      <c r="H1234" s="45">
        <f t="shared" si="96"/>
        <v>1</v>
      </c>
      <c r="I1234" s="47" t="s">
        <v>350</v>
      </c>
      <c r="J1234" s="48" t="s">
        <v>303</v>
      </c>
      <c r="K1234" s="41">
        <v>5244</v>
      </c>
    </row>
    <row r="1235" spans="4:11" s="41" customFormat="1">
      <c r="D1235" s="51" t="s">
        <v>436</v>
      </c>
      <c r="E1235" s="44"/>
      <c r="F1235" s="44"/>
      <c r="G1235" s="41">
        <v>5245</v>
      </c>
      <c r="H1235" s="45">
        <f t="shared" ref="H1235:H1266" si="97">K1235-G1235+1</f>
        <v>2</v>
      </c>
      <c r="I1235" s="47" t="s">
        <v>350</v>
      </c>
      <c r="J1235" s="48" t="s">
        <v>10</v>
      </c>
      <c r="K1235" s="41">
        <v>5246</v>
      </c>
    </row>
    <row r="1236" spans="4:11" s="41" customFormat="1">
      <c r="D1236" s="51" t="s">
        <v>435</v>
      </c>
      <c r="E1236" s="44"/>
      <c r="F1236" s="44"/>
      <c r="G1236" s="41">
        <v>5247</v>
      </c>
      <c r="H1236" s="45">
        <f t="shared" si="97"/>
        <v>2</v>
      </c>
      <c r="I1236" s="47" t="s">
        <v>350</v>
      </c>
      <c r="J1236" s="48" t="s">
        <v>403</v>
      </c>
      <c r="K1236" s="41">
        <v>5248</v>
      </c>
    </row>
    <row r="1237" spans="4:11" s="41" customFormat="1">
      <c r="D1237" s="51" t="s">
        <v>302</v>
      </c>
      <c r="E1237" s="44"/>
      <c r="F1237" s="44"/>
      <c r="G1237" s="41">
        <v>5249</v>
      </c>
      <c r="H1237" s="45">
        <f t="shared" si="97"/>
        <v>2</v>
      </c>
      <c r="I1237" s="47" t="s">
        <v>350</v>
      </c>
      <c r="J1237" s="48" t="s">
        <v>303</v>
      </c>
      <c r="K1237" s="41">
        <v>5250</v>
      </c>
    </row>
    <row r="1238" spans="4:11" s="41" customFormat="1">
      <c r="D1238" s="51" t="s">
        <v>316</v>
      </c>
      <c r="E1238" s="44"/>
      <c r="F1238" s="44"/>
      <c r="G1238" s="41">
        <v>5251</v>
      </c>
      <c r="H1238" s="45">
        <f t="shared" si="97"/>
        <v>1</v>
      </c>
      <c r="I1238" s="47" t="s">
        <v>350</v>
      </c>
      <c r="J1238" s="48" t="s">
        <v>303</v>
      </c>
      <c r="K1238" s="41">
        <v>5251</v>
      </c>
    </row>
    <row r="1239" spans="4:11" s="41" customFormat="1">
      <c r="D1239" s="51" t="s">
        <v>315</v>
      </c>
      <c r="E1239" s="44"/>
      <c r="F1239" s="44"/>
      <c r="G1239" s="41">
        <v>5252</v>
      </c>
      <c r="H1239" s="45">
        <f t="shared" si="97"/>
        <v>1</v>
      </c>
      <c r="I1239" s="47" t="s">
        <v>350</v>
      </c>
      <c r="J1239" s="48" t="s">
        <v>303</v>
      </c>
      <c r="K1239" s="41">
        <v>5252</v>
      </c>
    </row>
    <row r="1240" spans="4:11" s="41" customFormat="1">
      <c r="D1240" s="51" t="s">
        <v>314</v>
      </c>
      <c r="E1240" s="44"/>
      <c r="F1240" s="44"/>
      <c r="G1240" s="41">
        <v>5253</v>
      </c>
      <c r="H1240" s="45">
        <f t="shared" si="97"/>
        <v>1</v>
      </c>
      <c r="I1240" s="47" t="s">
        <v>350</v>
      </c>
      <c r="J1240" s="48" t="s">
        <v>303</v>
      </c>
      <c r="K1240" s="41">
        <v>5253</v>
      </c>
    </row>
    <row r="1241" spans="4:11" s="41" customFormat="1">
      <c r="D1241" s="51" t="s">
        <v>313</v>
      </c>
      <c r="E1241" s="44"/>
      <c r="F1241" s="44"/>
      <c r="G1241" s="41">
        <v>5254</v>
      </c>
      <c r="H1241" s="45">
        <f t="shared" si="97"/>
        <v>1</v>
      </c>
      <c r="I1241" s="47" t="s">
        <v>350</v>
      </c>
      <c r="J1241" s="48" t="s">
        <v>303</v>
      </c>
      <c r="K1241" s="41">
        <v>5254</v>
      </c>
    </row>
    <row r="1242" spans="4:11" s="41" customFormat="1">
      <c r="D1242" s="51" t="s">
        <v>434</v>
      </c>
      <c r="E1242" s="44"/>
      <c r="F1242" s="44"/>
      <c r="G1242" s="41">
        <v>5255</v>
      </c>
      <c r="H1242" s="45">
        <f t="shared" si="97"/>
        <v>2</v>
      </c>
      <c r="I1242" s="47" t="s">
        <v>350</v>
      </c>
      <c r="J1242" s="48" t="s">
        <v>10</v>
      </c>
      <c r="K1242" s="41">
        <v>5256</v>
      </c>
    </row>
    <row r="1243" spans="4:11" s="41" customFormat="1">
      <c r="D1243" s="51" t="s">
        <v>433</v>
      </c>
      <c r="E1243" s="44"/>
      <c r="F1243" s="44"/>
      <c r="G1243" s="41">
        <v>5257</v>
      </c>
      <c r="H1243" s="45">
        <f t="shared" si="97"/>
        <v>2</v>
      </c>
      <c r="I1243" s="47" t="s">
        <v>350</v>
      </c>
      <c r="J1243" s="48" t="s">
        <v>403</v>
      </c>
      <c r="K1243" s="41">
        <v>5258</v>
      </c>
    </row>
    <row r="1244" spans="4:11" s="41" customFormat="1">
      <c r="D1244" s="51" t="s">
        <v>302</v>
      </c>
      <c r="E1244" s="44"/>
      <c r="F1244" s="44"/>
      <c r="G1244" s="41">
        <v>5259</v>
      </c>
      <c r="H1244" s="45">
        <f t="shared" si="97"/>
        <v>2</v>
      </c>
      <c r="I1244" s="47" t="s">
        <v>350</v>
      </c>
      <c r="J1244" s="48" t="s">
        <v>303</v>
      </c>
      <c r="K1244" s="41">
        <v>5260</v>
      </c>
    </row>
    <row r="1245" spans="4:11" s="41" customFormat="1">
      <c r="D1245" s="51" t="s">
        <v>316</v>
      </c>
      <c r="E1245" s="44"/>
      <c r="F1245" s="44"/>
      <c r="G1245" s="41">
        <v>5261</v>
      </c>
      <c r="H1245" s="45">
        <f t="shared" si="97"/>
        <v>1</v>
      </c>
      <c r="I1245" s="47" t="s">
        <v>350</v>
      </c>
      <c r="J1245" s="48" t="s">
        <v>303</v>
      </c>
      <c r="K1245" s="41">
        <v>5261</v>
      </c>
    </row>
    <row r="1246" spans="4:11" s="41" customFormat="1">
      <c r="D1246" s="51" t="s">
        <v>315</v>
      </c>
      <c r="E1246" s="44"/>
      <c r="F1246" s="44"/>
      <c r="G1246" s="41">
        <v>5262</v>
      </c>
      <c r="H1246" s="45">
        <f t="shared" si="97"/>
        <v>1</v>
      </c>
      <c r="I1246" s="47" t="s">
        <v>350</v>
      </c>
      <c r="J1246" s="48" t="s">
        <v>303</v>
      </c>
      <c r="K1246" s="41">
        <v>5262</v>
      </c>
    </row>
    <row r="1247" spans="4:11" s="41" customFormat="1">
      <c r="D1247" s="51" t="s">
        <v>314</v>
      </c>
      <c r="E1247" s="44"/>
      <c r="F1247" s="44"/>
      <c r="G1247" s="41">
        <v>5263</v>
      </c>
      <c r="H1247" s="45">
        <f t="shared" si="97"/>
        <v>1</v>
      </c>
      <c r="I1247" s="47" t="s">
        <v>350</v>
      </c>
      <c r="J1247" s="48" t="s">
        <v>303</v>
      </c>
      <c r="K1247" s="41">
        <v>5263</v>
      </c>
    </row>
    <row r="1248" spans="4:11" s="41" customFormat="1">
      <c r="D1248" s="51" t="s">
        <v>313</v>
      </c>
      <c r="E1248" s="44"/>
      <c r="F1248" s="44"/>
      <c r="G1248" s="41">
        <v>5264</v>
      </c>
      <c r="H1248" s="45">
        <f t="shared" si="97"/>
        <v>1</v>
      </c>
      <c r="I1248" s="47" t="s">
        <v>350</v>
      </c>
      <c r="J1248" s="48" t="s">
        <v>303</v>
      </c>
      <c r="K1248" s="41">
        <v>5264</v>
      </c>
    </row>
    <row r="1249" spans="4:11" s="41" customFormat="1">
      <c r="D1249" s="51" t="s">
        <v>432</v>
      </c>
      <c r="E1249" s="44"/>
      <c r="F1249" s="44"/>
      <c r="G1249" s="41">
        <v>5265</v>
      </c>
      <c r="H1249" s="45">
        <f t="shared" si="97"/>
        <v>2</v>
      </c>
      <c r="I1249" s="47" t="s">
        <v>350</v>
      </c>
      <c r="J1249" s="48" t="s">
        <v>10</v>
      </c>
      <c r="K1249" s="41">
        <v>5266</v>
      </c>
    </row>
    <row r="1250" spans="4:11" s="41" customFormat="1">
      <c r="D1250" s="51" t="s">
        <v>431</v>
      </c>
      <c r="E1250" s="44"/>
      <c r="F1250" s="44"/>
      <c r="G1250" s="41">
        <v>5267</v>
      </c>
      <c r="H1250" s="45">
        <f t="shared" si="97"/>
        <v>2</v>
      </c>
      <c r="I1250" s="47" t="s">
        <v>350</v>
      </c>
      <c r="J1250" s="48" t="s">
        <v>403</v>
      </c>
      <c r="K1250" s="41">
        <v>5268</v>
      </c>
    </row>
    <row r="1251" spans="4:11" s="41" customFormat="1">
      <c r="D1251" s="51" t="s">
        <v>302</v>
      </c>
      <c r="E1251" s="44"/>
      <c r="F1251" s="44"/>
      <c r="G1251" s="41">
        <v>5269</v>
      </c>
      <c r="H1251" s="45">
        <f t="shared" si="97"/>
        <v>2</v>
      </c>
      <c r="I1251" s="47" t="s">
        <v>350</v>
      </c>
      <c r="J1251" s="48" t="s">
        <v>303</v>
      </c>
      <c r="K1251" s="41">
        <v>5270</v>
      </c>
    </row>
    <row r="1252" spans="4:11" s="41" customFormat="1">
      <c r="D1252" s="51" t="s">
        <v>316</v>
      </c>
      <c r="E1252" s="44"/>
      <c r="F1252" s="44"/>
      <c r="G1252" s="41">
        <v>5271</v>
      </c>
      <c r="H1252" s="45">
        <f t="shared" si="97"/>
        <v>1</v>
      </c>
      <c r="I1252" s="47" t="s">
        <v>350</v>
      </c>
      <c r="J1252" s="48" t="s">
        <v>303</v>
      </c>
      <c r="K1252" s="41">
        <v>5271</v>
      </c>
    </row>
    <row r="1253" spans="4:11" s="41" customFormat="1">
      <c r="D1253" s="51" t="s">
        <v>315</v>
      </c>
      <c r="E1253" s="44"/>
      <c r="F1253" s="44"/>
      <c r="G1253" s="41">
        <v>5272</v>
      </c>
      <c r="H1253" s="45">
        <f t="shared" si="97"/>
        <v>1</v>
      </c>
      <c r="I1253" s="47" t="s">
        <v>350</v>
      </c>
      <c r="J1253" s="48" t="s">
        <v>303</v>
      </c>
      <c r="K1253" s="41">
        <v>5272</v>
      </c>
    </row>
    <row r="1254" spans="4:11" s="41" customFormat="1">
      <c r="D1254" s="51" t="s">
        <v>314</v>
      </c>
      <c r="E1254" s="44"/>
      <c r="F1254" s="44"/>
      <c r="G1254" s="41">
        <v>5273</v>
      </c>
      <c r="H1254" s="45">
        <f t="shared" si="97"/>
        <v>1</v>
      </c>
      <c r="I1254" s="47" t="s">
        <v>350</v>
      </c>
      <c r="J1254" s="48" t="s">
        <v>303</v>
      </c>
      <c r="K1254" s="41">
        <v>5273</v>
      </c>
    </row>
    <row r="1255" spans="4:11" s="41" customFormat="1">
      <c r="D1255" s="51" t="s">
        <v>313</v>
      </c>
      <c r="E1255" s="44"/>
      <c r="F1255" s="44"/>
      <c r="G1255" s="41">
        <v>5274</v>
      </c>
      <c r="H1255" s="45">
        <f t="shared" si="97"/>
        <v>1</v>
      </c>
      <c r="I1255" s="47" t="s">
        <v>350</v>
      </c>
      <c r="J1255" s="48" t="s">
        <v>303</v>
      </c>
      <c r="K1255" s="41">
        <v>5274</v>
      </c>
    </row>
    <row r="1256" spans="4:11" s="41" customFormat="1">
      <c r="D1256" s="51" t="s">
        <v>430</v>
      </c>
      <c r="E1256" s="44"/>
      <c r="F1256" s="44"/>
      <c r="G1256" s="41">
        <v>5275</v>
      </c>
      <c r="H1256" s="45">
        <f t="shared" si="97"/>
        <v>-18</v>
      </c>
      <c r="I1256" s="47" t="s">
        <v>350</v>
      </c>
      <c r="J1256" s="48" t="s">
        <v>10</v>
      </c>
      <c r="K1256" s="41">
        <v>5256</v>
      </c>
    </row>
    <row r="1257" spans="4:11" s="41" customFormat="1">
      <c r="D1257" s="51" t="s">
        <v>429</v>
      </c>
      <c r="E1257" s="44"/>
      <c r="F1257" s="44"/>
      <c r="G1257" s="41">
        <v>5277</v>
      </c>
      <c r="H1257" s="45">
        <f t="shared" si="97"/>
        <v>2</v>
      </c>
      <c r="I1257" s="47" t="s">
        <v>350</v>
      </c>
      <c r="J1257" s="48" t="s">
        <v>403</v>
      </c>
      <c r="K1257" s="41">
        <v>5278</v>
      </c>
    </row>
    <row r="1258" spans="4:11" s="41" customFormat="1">
      <c r="D1258" s="51" t="s">
        <v>302</v>
      </c>
      <c r="E1258" s="44"/>
      <c r="F1258" s="44"/>
      <c r="G1258" s="41">
        <v>5279</v>
      </c>
      <c r="H1258" s="45">
        <f t="shared" si="97"/>
        <v>2</v>
      </c>
      <c r="I1258" s="47" t="s">
        <v>350</v>
      </c>
      <c r="J1258" s="48" t="s">
        <v>303</v>
      </c>
      <c r="K1258" s="41">
        <v>5280</v>
      </c>
    </row>
    <row r="1259" spans="4:11" s="41" customFormat="1">
      <c r="D1259" s="51" t="s">
        <v>316</v>
      </c>
      <c r="E1259" s="44"/>
      <c r="F1259" s="44"/>
      <c r="G1259" s="41">
        <v>5281</v>
      </c>
      <c r="H1259" s="45">
        <f t="shared" si="97"/>
        <v>1</v>
      </c>
      <c r="I1259" s="47" t="s">
        <v>350</v>
      </c>
      <c r="J1259" s="48" t="s">
        <v>303</v>
      </c>
      <c r="K1259" s="41">
        <v>5281</v>
      </c>
    </row>
    <row r="1260" spans="4:11" s="41" customFormat="1">
      <c r="D1260" s="51" t="s">
        <v>315</v>
      </c>
      <c r="E1260" s="44"/>
      <c r="F1260" s="44"/>
      <c r="G1260" s="41">
        <v>5282</v>
      </c>
      <c r="H1260" s="45">
        <f t="shared" si="97"/>
        <v>1</v>
      </c>
      <c r="I1260" s="47" t="s">
        <v>350</v>
      </c>
      <c r="J1260" s="48" t="s">
        <v>303</v>
      </c>
      <c r="K1260" s="41">
        <v>5282</v>
      </c>
    </row>
    <row r="1261" spans="4:11" s="41" customFormat="1">
      <c r="D1261" s="51" t="s">
        <v>314</v>
      </c>
      <c r="E1261" s="44"/>
      <c r="F1261" s="44"/>
      <c r="G1261" s="41">
        <v>5283</v>
      </c>
      <c r="H1261" s="45">
        <f t="shared" si="97"/>
        <v>1</v>
      </c>
      <c r="I1261" s="47" t="s">
        <v>350</v>
      </c>
      <c r="J1261" s="48" t="s">
        <v>303</v>
      </c>
      <c r="K1261" s="41">
        <v>5283</v>
      </c>
    </row>
    <row r="1262" spans="4:11" s="41" customFormat="1">
      <c r="D1262" s="51" t="s">
        <v>313</v>
      </c>
      <c r="E1262" s="44"/>
      <c r="F1262" s="44"/>
      <c r="G1262" s="41">
        <v>5284</v>
      </c>
      <c r="H1262" s="45">
        <f t="shared" si="97"/>
        <v>1</v>
      </c>
      <c r="I1262" s="47" t="s">
        <v>350</v>
      </c>
      <c r="J1262" s="48" t="s">
        <v>303</v>
      </c>
      <c r="K1262" s="41">
        <v>5284</v>
      </c>
    </row>
    <row r="1263" spans="4:11" s="41" customFormat="1">
      <c r="D1263" s="51" t="s">
        <v>428</v>
      </c>
      <c r="E1263" s="44"/>
      <c r="F1263" s="44"/>
      <c r="G1263" s="41">
        <v>5285</v>
      </c>
      <c r="H1263" s="45">
        <f t="shared" si="97"/>
        <v>2</v>
      </c>
      <c r="I1263" s="47" t="s">
        <v>350</v>
      </c>
      <c r="J1263" s="48" t="s">
        <v>10</v>
      </c>
      <c r="K1263" s="41">
        <v>5286</v>
      </c>
    </row>
    <row r="1264" spans="4:11" s="41" customFormat="1">
      <c r="D1264" s="51" t="s">
        <v>427</v>
      </c>
      <c r="E1264" s="44"/>
      <c r="F1264" s="44"/>
      <c r="G1264" s="41">
        <v>5287</v>
      </c>
      <c r="H1264" s="45">
        <f t="shared" si="97"/>
        <v>2</v>
      </c>
      <c r="I1264" s="47" t="s">
        <v>350</v>
      </c>
      <c r="J1264" s="48" t="s">
        <v>403</v>
      </c>
      <c r="K1264" s="41">
        <v>5288</v>
      </c>
    </row>
    <row r="1265" spans="1:12" s="41" customFormat="1">
      <c r="D1265" s="51" t="s">
        <v>302</v>
      </c>
      <c r="E1265" s="44"/>
      <c r="F1265" s="44"/>
      <c r="G1265" s="41">
        <v>5289</v>
      </c>
      <c r="H1265" s="45">
        <f t="shared" si="97"/>
        <v>2</v>
      </c>
      <c r="I1265" s="47" t="s">
        <v>350</v>
      </c>
      <c r="J1265" s="48" t="s">
        <v>303</v>
      </c>
      <c r="K1265" s="41">
        <v>5290</v>
      </c>
    </row>
    <row r="1266" spans="1:12" s="41" customFormat="1">
      <c r="D1266" s="51" t="s">
        <v>316</v>
      </c>
      <c r="E1266" s="44"/>
      <c r="F1266" s="44"/>
      <c r="G1266" s="41">
        <v>5291</v>
      </c>
      <c r="H1266" s="45">
        <f t="shared" si="97"/>
        <v>1</v>
      </c>
      <c r="I1266" s="47" t="s">
        <v>350</v>
      </c>
      <c r="J1266" s="48" t="s">
        <v>303</v>
      </c>
      <c r="K1266" s="41">
        <v>5291</v>
      </c>
    </row>
    <row r="1267" spans="1:12" s="41" customFormat="1">
      <c r="D1267" s="51" t="s">
        <v>315</v>
      </c>
      <c r="E1267" s="44"/>
      <c r="F1267" s="44"/>
      <c r="G1267" s="41">
        <v>5292</v>
      </c>
      <c r="H1267" s="45">
        <f t="shared" ref="H1267:H1272" si="98">K1267-G1267+1</f>
        <v>1</v>
      </c>
      <c r="I1267" s="47" t="s">
        <v>350</v>
      </c>
      <c r="J1267" s="48" t="s">
        <v>303</v>
      </c>
      <c r="K1267" s="41">
        <v>5292</v>
      </c>
    </row>
    <row r="1268" spans="1:12" s="41" customFormat="1">
      <c r="D1268" s="51" t="s">
        <v>314</v>
      </c>
      <c r="E1268" s="44"/>
      <c r="F1268" s="44"/>
      <c r="G1268" s="41">
        <v>5293</v>
      </c>
      <c r="H1268" s="45">
        <f t="shared" si="98"/>
        <v>1</v>
      </c>
      <c r="I1268" s="47" t="s">
        <v>350</v>
      </c>
      <c r="J1268" s="48" t="s">
        <v>303</v>
      </c>
      <c r="K1268" s="41">
        <v>5293</v>
      </c>
    </row>
    <row r="1269" spans="1:12" s="41" customFormat="1">
      <c r="D1269" s="51" t="s">
        <v>313</v>
      </c>
      <c r="E1269" s="44"/>
      <c r="F1269" s="44"/>
      <c r="G1269" s="41">
        <v>5294</v>
      </c>
      <c r="H1269" s="45">
        <f t="shared" si="98"/>
        <v>1</v>
      </c>
      <c r="I1269" s="47" t="s">
        <v>350</v>
      </c>
      <c r="J1269" s="48" t="s">
        <v>303</v>
      </c>
      <c r="K1269" s="41">
        <v>5294</v>
      </c>
    </row>
    <row r="1270" spans="1:12" s="41" customFormat="1">
      <c r="D1270" s="51" t="s">
        <v>426</v>
      </c>
      <c r="E1270" s="44"/>
      <c r="F1270" s="44"/>
      <c r="G1270" s="41">
        <v>5295</v>
      </c>
      <c r="H1270" s="45">
        <f t="shared" si="98"/>
        <v>2</v>
      </c>
      <c r="I1270" s="47" t="s">
        <v>350</v>
      </c>
      <c r="J1270" s="48" t="s">
        <v>10</v>
      </c>
      <c r="K1270" s="41">
        <v>5296</v>
      </c>
    </row>
    <row r="1271" spans="1:12" s="41" customFormat="1">
      <c r="D1271" s="51" t="s">
        <v>425</v>
      </c>
      <c r="E1271" s="44"/>
      <c r="F1271" s="44"/>
      <c r="G1271" s="41">
        <v>5297</v>
      </c>
      <c r="H1271" s="45">
        <f t="shared" si="98"/>
        <v>2</v>
      </c>
      <c r="I1271" s="47" t="s">
        <v>350</v>
      </c>
      <c r="J1271" s="48" t="s">
        <v>403</v>
      </c>
      <c r="K1271" s="41">
        <v>5298</v>
      </c>
    </row>
    <row r="1272" spans="1:12" s="41" customFormat="1">
      <c r="D1272" s="51" t="s">
        <v>302</v>
      </c>
      <c r="E1272" s="44"/>
      <c r="F1272" s="44"/>
      <c r="G1272" s="41">
        <v>5299</v>
      </c>
      <c r="H1272" s="45">
        <f t="shared" si="98"/>
        <v>1</v>
      </c>
      <c r="I1272" s="47" t="s">
        <v>350</v>
      </c>
      <c r="J1272" s="48" t="s">
        <v>303</v>
      </c>
      <c r="K1272" s="41">
        <v>5299</v>
      </c>
    </row>
    <row r="1273" spans="1:12" s="41" customFormat="1">
      <c r="D1273" s="51"/>
      <c r="E1273" s="44"/>
      <c r="F1273" s="44"/>
      <c r="H1273" s="44"/>
      <c r="I1273" s="44"/>
      <c r="J1273" s="48"/>
    </row>
    <row r="1274" spans="1:12" s="43" customFormat="1">
      <c r="A1274" s="42"/>
      <c r="B1274" s="42" t="s">
        <v>301</v>
      </c>
      <c r="C1274" s="42" t="s">
        <v>424</v>
      </c>
      <c r="D1274" s="54"/>
      <c r="E1274" s="46"/>
      <c r="F1274" s="46"/>
      <c r="G1274" s="42"/>
      <c r="H1274" s="45"/>
      <c r="I1274" s="46"/>
      <c r="J1274" s="49"/>
      <c r="K1274" s="42"/>
      <c r="L1274" s="42"/>
    </row>
    <row r="1275" spans="1:12" s="41" customFormat="1">
      <c r="D1275" s="51" t="s">
        <v>316</v>
      </c>
      <c r="E1275" s="44"/>
      <c r="F1275" s="44"/>
      <c r="G1275" s="41">
        <v>5401</v>
      </c>
      <c r="H1275" s="45">
        <f t="shared" ref="H1275:H1306" si="99">K1275-G1275+1</f>
        <v>1</v>
      </c>
      <c r="I1275" s="47" t="s">
        <v>350</v>
      </c>
      <c r="J1275" s="48" t="s">
        <v>303</v>
      </c>
      <c r="K1275" s="41">
        <v>5401</v>
      </c>
    </row>
    <row r="1276" spans="1:12" s="41" customFormat="1">
      <c r="D1276" s="51" t="s">
        <v>315</v>
      </c>
      <c r="E1276" s="44"/>
      <c r="F1276" s="44"/>
      <c r="G1276" s="41">
        <v>5402</v>
      </c>
      <c r="H1276" s="45">
        <f t="shared" si="99"/>
        <v>1</v>
      </c>
      <c r="I1276" s="47" t="s">
        <v>350</v>
      </c>
      <c r="J1276" s="48" t="s">
        <v>303</v>
      </c>
      <c r="K1276" s="41">
        <v>5402</v>
      </c>
    </row>
    <row r="1277" spans="1:12" s="41" customFormat="1">
      <c r="D1277" s="51" t="s">
        <v>314</v>
      </c>
      <c r="E1277" s="44"/>
      <c r="F1277" s="44"/>
      <c r="G1277" s="41">
        <v>5403</v>
      </c>
      <c r="H1277" s="45">
        <f t="shared" si="99"/>
        <v>1</v>
      </c>
      <c r="I1277" s="47" t="s">
        <v>350</v>
      </c>
      <c r="J1277" s="48" t="s">
        <v>303</v>
      </c>
      <c r="K1277" s="41">
        <v>5403</v>
      </c>
    </row>
    <row r="1278" spans="1:12" s="41" customFormat="1">
      <c r="D1278" s="51" t="s">
        <v>313</v>
      </c>
      <c r="E1278" s="44"/>
      <c r="F1278" s="44"/>
      <c r="G1278" s="41">
        <v>5404</v>
      </c>
      <c r="H1278" s="45">
        <f t="shared" si="99"/>
        <v>1</v>
      </c>
      <c r="I1278" s="47" t="s">
        <v>350</v>
      </c>
      <c r="J1278" s="48" t="s">
        <v>303</v>
      </c>
      <c r="K1278" s="41">
        <v>5404</v>
      </c>
    </row>
    <row r="1279" spans="1:12" s="41" customFormat="1">
      <c r="D1279" s="51" t="s">
        <v>423</v>
      </c>
      <c r="E1279" s="44"/>
      <c r="F1279" s="44"/>
      <c r="G1279" s="41">
        <v>5405</v>
      </c>
      <c r="H1279" s="45">
        <f t="shared" si="99"/>
        <v>2</v>
      </c>
      <c r="I1279" s="47" t="s">
        <v>350</v>
      </c>
      <c r="J1279" s="48" t="s">
        <v>10</v>
      </c>
      <c r="K1279" s="41">
        <v>5406</v>
      </c>
    </row>
    <row r="1280" spans="1:12" s="41" customFormat="1">
      <c r="D1280" s="51" t="s">
        <v>422</v>
      </c>
      <c r="E1280" s="44"/>
      <c r="F1280" s="44"/>
      <c r="G1280" s="41">
        <v>5407</v>
      </c>
      <c r="H1280" s="45">
        <f t="shared" si="99"/>
        <v>2</v>
      </c>
      <c r="I1280" s="47" t="s">
        <v>350</v>
      </c>
      <c r="J1280" s="48" t="s">
        <v>403</v>
      </c>
      <c r="K1280" s="41">
        <v>5408</v>
      </c>
    </row>
    <row r="1281" spans="4:11" s="41" customFormat="1">
      <c r="D1281" s="51" t="s">
        <v>302</v>
      </c>
      <c r="E1281" s="44"/>
      <c r="F1281" s="44"/>
      <c r="G1281" s="41">
        <v>5409</v>
      </c>
      <c r="H1281" s="45">
        <f t="shared" si="99"/>
        <v>2</v>
      </c>
      <c r="I1281" s="47" t="s">
        <v>350</v>
      </c>
      <c r="J1281" s="48" t="s">
        <v>303</v>
      </c>
      <c r="K1281" s="41">
        <v>5410</v>
      </c>
    </row>
    <row r="1282" spans="4:11" s="41" customFormat="1">
      <c r="D1282" s="51" t="s">
        <v>316</v>
      </c>
      <c r="E1282" s="44"/>
      <c r="F1282" s="44"/>
      <c r="G1282" s="41">
        <v>5410</v>
      </c>
      <c r="H1282" s="45">
        <f t="shared" si="99"/>
        <v>2</v>
      </c>
      <c r="I1282" s="47" t="s">
        <v>350</v>
      </c>
      <c r="J1282" s="48" t="s">
        <v>303</v>
      </c>
      <c r="K1282" s="41">
        <v>5411</v>
      </c>
    </row>
    <row r="1283" spans="4:11" s="41" customFormat="1">
      <c r="D1283" s="51" t="s">
        <v>315</v>
      </c>
      <c r="E1283" s="44"/>
      <c r="F1283" s="44"/>
      <c r="G1283" s="41">
        <v>5411</v>
      </c>
      <c r="H1283" s="45">
        <f t="shared" si="99"/>
        <v>2</v>
      </c>
      <c r="I1283" s="47" t="s">
        <v>350</v>
      </c>
      <c r="J1283" s="48" t="s">
        <v>303</v>
      </c>
      <c r="K1283" s="41">
        <v>5412</v>
      </c>
    </row>
    <row r="1284" spans="4:11" s="41" customFormat="1">
      <c r="D1284" s="51" t="s">
        <v>314</v>
      </c>
      <c r="E1284" s="44"/>
      <c r="F1284" s="44"/>
      <c r="G1284" s="41">
        <v>5412</v>
      </c>
      <c r="H1284" s="45">
        <f t="shared" si="99"/>
        <v>2</v>
      </c>
      <c r="I1284" s="47" t="s">
        <v>350</v>
      </c>
      <c r="J1284" s="48" t="s">
        <v>303</v>
      </c>
      <c r="K1284" s="41">
        <v>5413</v>
      </c>
    </row>
    <row r="1285" spans="4:11" s="41" customFormat="1">
      <c r="D1285" s="51" t="s">
        <v>313</v>
      </c>
      <c r="E1285" s="44"/>
      <c r="F1285" s="44"/>
      <c r="G1285" s="41">
        <v>5413</v>
      </c>
      <c r="H1285" s="45">
        <f t="shared" si="99"/>
        <v>2</v>
      </c>
      <c r="I1285" s="47" t="s">
        <v>350</v>
      </c>
      <c r="J1285" s="48" t="s">
        <v>303</v>
      </c>
      <c r="K1285" s="41">
        <v>5414</v>
      </c>
    </row>
    <row r="1286" spans="4:11" s="41" customFormat="1">
      <c r="D1286" s="51" t="s">
        <v>421</v>
      </c>
      <c r="E1286" s="44"/>
      <c r="F1286" s="44"/>
      <c r="G1286" s="41">
        <v>5415</v>
      </c>
      <c r="H1286" s="45">
        <f t="shared" si="99"/>
        <v>2</v>
      </c>
      <c r="I1286" s="47" t="s">
        <v>350</v>
      </c>
      <c r="J1286" s="48" t="s">
        <v>10</v>
      </c>
      <c r="K1286" s="41">
        <v>5416</v>
      </c>
    </row>
    <row r="1287" spans="4:11" s="41" customFormat="1">
      <c r="D1287" s="51" t="s">
        <v>420</v>
      </c>
      <c r="E1287" s="44"/>
      <c r="F1287" s="44"/>
      <c r="G1287" s="41">
        <v>5417</v>
      </c>
      <c r="H1287" s="45">
        <f t="shared" si="99"/>
        <v>2</v>
      </c>
      <c r="I1287" s="47" t="s">
        <v>350</v>
      </c>
      <c r="J1287" s="48" t="s">
        <v>403</v>
      </c>
      <c r="K1287" s="41">
        <v>5418</v>
      </c>
    </row>
    <row r="1288" spans="4:11" s="41" customFormat="1">
      <c r="D1288" s="51" t="s">
        <v>302</v>
      </c>
      <c r="E1288" s="44"/>
      <c r="F1288" s="44"/>
      <c r="G1288" s="41">
        <f>G1287+2</f>
        <v>5419</v>
      </c>
      <c r="H1288" s="45">
        <f t="shared" si="99"/>
        <v>2</v>
      </c>
      <c r="I1288" s="47" t="s">
        <v>350</v>
      </c>
      <c r="J1288" s="48" t="s">
        <v>303</v>
      </c>
      <c r="K1288" s="41">
        <f>K1287+2</f>
        <v>5420</v>
      </c>
    </row>
    <row r="1289" spans="4:11" s="41" customFormat="1">
      <c r="D1289" s="51" t="s">
        <v>316</v>
      </c>
      <c r="E1289" s="44"/>
      <c r="F1289" s="44"/>
      <c r="G1289" s="41">
        <f>G1288+2</f>
        <v>5421</v>
      </c>
      <c r="H1289" s="45">
        <f t="shared" si="99"/>
        <v>1</v>
      </c>
      <c r="I1289" s="47" t="s">
        <v>350</v>
      </c>
      <c r="J1289" s="48" t="s">
        <v>303</v>
      </c>
      <c r="K1289" s="41">
        <v>5421</v>
      </c>
    </row>
    <row r="1290" spans="4:11" s="41" customFormat="1">
      <c r="D1290" s="51" t="s">
        <v>315</v>
      </c>
      <c r="E1290" s="44"/>
      <c r="F1290" s="44"/>
      <c r="G1290" s="41">
        <v>5422</v>
      </c>
      <c r="H1290" s="45">
        <f t="shared" si="99"/>
        <v>1</v>
      </c>
      <c r="I1290" s="47" t="s">
        <v>350</v>
      </c>
      <c r="J1290" s="48" t="s">
        <v>303</v>
      </c>
      <c r="K1290" s="41">
        <v>5422</v>
      </c>
    </row>
    <row r="1291" spans="4:11" s="41" customFormat="1">
      <c r="D1291" s="51" t="s">
        <v>314</v>
      </c>
      <c r="E1291" s="44"/>
      <c r="F1291" s="44"/>
      <c r="G1291" s="41">
        <v>5423</v>
      </c>
      <c r="H1291" s="45">
        <f t="shared" si="99"/>
        <v>1</v>
      </c>
      <c r="I1291" s="47" t="s">
        <v>350</v>
      </c>
      <c r="J1291" s="48" t="s">
        <v>303</v>
      </c>
      <c r="K1291" s="41">
        <v>5423</v>
      </c>
    </row>
    <row r="1292" spans="4:11" s="41" customFormat="1">
      <c r="D1292" s="51" t="s">
        <v>313</v>
      </c>
      <c r="E1292" s="44"/>
      <c r="F1292" s="44"/>
      <c r="G1292" s="41">
        <v>5424</v>
      </c>
      <c r="H1292" s="45">
        <f t="shared" si="99"/>
        <v>1</v>
      </c>
      <c r="I1292" s="47" t="s">
        <v>350</v>
      </c>
      <c r="J1292" s="48" t="s">
        <v>303</v>
      </c>
      <c r="K1292" s="41">
        <v>5424</v>
      </c>
    </row>
    <row r="1293" spans="4:11" s="41" customFormat="1">
      <c r="D1293" s="51" t="s">
        <v>419</v>
      </c>
      <c r="E1293" s="44"/>
      <c r="F1293" s="44"/>
      <c r="G1293" s="41">
        <v>5425</v>
      </c>
      <c r="H1293" s="45">
        <f t="shared" si="99"/>
        <v>2</v>
      </c>
      <c r="I1293" s="47" t="s">
        <v>350</v>
      </c>
      <c r="J1293" s="48" t="s">
        <v>10</v>
      </c>
      <c r="K1293" s="41">
        <v>5426</v>
      </c>
    </row>
    <row r="1294" spans="4:11" s="41" customFormat="1">
      <c r="D1294" s="51" t="s">
        <v>418</v>
      </c>
      <c r="E1294" s="44"/>
      <c r="F1294" s="44"/>
      <c r="G1294" s="41">
        <v>5427</v>
      </c>
      <c r="H1294" s="45">
        <f t="shared" si="99"/>
        <v>2</v>
      </c>
      <c r="I1294" s="47" t="s">
        <v>350</v>
      </c>
      <c r="J1294" s="48" t="s">
        <v>403</v>
      </c>
      <c r="K1294" s="41">
        <v>5428</v>
      </c>
    </row>
    <row r="1295" spans="4:11" s="41" customFormat="1">
      <c r="D1295" s="51" t="s">
        <v>302</v>
      </c>
      <c r="E1295" s="44"/>
      <c r="F1295" s="44"/>
      <c r="G1295" s="41">
        <v>5429</v>
      </c>
      <c r="H1295" s="45">
        <f t="shared" si="99"/>
        <v>2</v>
      </c>
      <c r="I1295" s="47" t="s">
        <v>350</v>
      </c>
      <c r="J1295" s="48" t="s">
        <v>303</v>
      </c>
      <c r="K1295" s="41">
        <v>5430</v>
      </c>
    </row>
    <row r="1296" spans="4:11" s="41" customFormat="1">
      <c r="D1296" s="51" t="s">
        <v>316</v>
      </c>
      <c r="E1296" s="44"/>
      <c r="F1296" s="44"/>
      <c r="G1296" s="41">
        <v>5431</v>
      </c>
      <c r="H1296" s="45">
        <f t="shared" si="99"/>
        <v>1</v>
      </c>
      <c r="I1296" s="47" t="s">
        <v>350</v>
      </c>
      <c r="J1296" s="48" t="s">
        <v>303</v>
      </c>
      <c r="K1296" s="41">
        <v>5431</v>
      </c>
    </row>
    <row r="1297" spans="4:11" s="41" customFormat="1">
      <c r="D1297" s="51" t="s">
        <v>315</v>
      </c>
      <c r="E1297" s="44"/>
      <c r="F1297" s="44"/>
      <c r="G1297" s="41">
        <v>5432</v>
      </c>
      <c r="H1297" s="45">
        <f t="shared" si="99"/>
        <v>1</v>
      </c>
      <c r="I1297" s="47" t="s">
        <v>350</v>
      </c>
      <c r="J1297" s="48" t="s">
        <v>303</v>
      </c>
      <c r="K1297" s="41">
        <v>5432</v>
      </c>
    </row>
    <row r="1298" spans="4:11" s="41" customFormat="1">
      <c r="D1298" s="51" t="s">
        <v>314</v>
      </c>
      <c r="E1298" s="44"/>
      <c r="F1298" s="44"/>
      <c r="G1298" s="41">
        <v>5433</v>
      </c>
      <c r="H1298" s="45">
        <f t="shared" si="99"/>
        <v>1</v>
      </c>
      <c r="I1298" s="47" t="s">
        <v>350</v>
      </c>
      <c r="J1298" s="48" t="s">
        <v>303</v>
      </c>
      <c r="K1298" s="41">
        <v>5433</v>
      </c>
    </row>
    <row r="1299" spans="4:11" s="41" customFormat="1">
      <c r="D1299" s="51" t="s">
        <v>313</v>
      </c>
      <c r="E1299" s="44"/>
      <c r="F1299" s="44"/>
      <c r="G1299" s="41">
        <v>5434</v>
      </c>
      <c r="H1299" s="45">
        <f t="shared" si="99"/>
        <v>1</v>
      </c>
      <c r="I1299" s="47" t="s">
        <v>350</v>
      </c>
      <c r="J1299" s="48" t="s">
        <v>303</v>
      </c>
      <c r="K1299" s="41">
        <v>5434</v>
      </c>
    </row>
    <row r="1300" spans="4:11" s="41" customFormat="1">
      <c r="D1300" s="51" t="s">
        <v>417</v>
      </c>
      <c r="E1300" s="44"/>
      <c r="F1300" s="44"/>
      <c r="G1300" s="41">
        <v>5435</v>
      </c>
      <c r="H1300" s="45">
        <f t="shared" si="99"/>
        <v>2</v>
      </c>
      <c r="I1300" s="47" t="s">
        <v>350</v>
      </c>
      <c r="J1300" s="48" t="s">
        <v>10</v>
      </c>
      <c r="K1300" s="41">
        <v>5436</v>
      </c>
    </row>
    <row r="1301" spans="4:11" s="41" customFormat="1">
      <c r="D1301" s="51" t="s">
        <v>416</v>
      </c>
      <c r="E1301" s="44"/>
      <c r="F1301" s="44"/>
      <c r="G1301" s="41">
        <v>5437</v>
      </c>
      <c r="H1301" s="45">
        <f t="shared" si="99"/>
        <v>2</v>
      </c>
      <c r="I1301" s="47" t="s">
        <v>350</v>
      </c>
      <c r="J1301" s="48" t="s">
        <v>403</v>
      </c>
      <c r="K1301" s="41">
        <v>5438</v>
      </c>
    </row>
    <row r="1302" spans="4:11" s="41" customFormat="1">
      <c r="D1302" s="51" t="s">
        <v>302</v>
      </c>
      <c r="E1302" s="44"/>
      <c r="F1302" s="44"/>
      <c r="G1302" s="41">
        <v>5439</v>
      </c>
      <c r="H1302" s="45">
        <f t="shared" si="99"/>
        <v>2</v>
      </c>
      <c r="I1302" s="47" t="s">
        <v>350</v>
      </c>
      <c r="J1302" s="48" t="s">
        <v>303</v>
      </c>
      <c r="K1302" s="41">
        <v>5440</v>
      </c>
    </row>
    <row r="1303" spans="4:11" s="41" customFormat="1">
      <c r="D1303" s="51" t="s">
        <v>316</v>
      </c>
      <c r="E1303" s="44"/>
      <c r="F1303" s="44"/>
      <c r="G1303" s="41">
        <v>5441</v>
      </c>
      <c r="H1303" s="45">
        <f t="shared" si="99"/>
        <v>1</v>
      </c>
      <c r="I1303" s="47" t="s">
        <v>350</v>
      </c>
      <c r="J1303" s="48" t="s">
        <v>303</v>
      </c>
      <c r="K1303" s="41">
        <v>5441</v>
      </c>
    </row>
    <row r="1304" spans="4:11" s="41" customFormat="1">
      <c r="D1304" s="51" t="s">
        <v>315</v>
      </c>
      <c r="E1304" s="44"/>
      <c r="F1304" s="44"/>
      <c r="G1304" s="41">
        <v>5442</v>
      </c>
      <c r="H1304" s="45">
        <f t="shared" si="99"/>
        <v>1</v>
      </c>
      <c r="I1304" s="47" t="s">
        <v>350</v>
      </c>
      <c r="J1304" s="48" t="s">
        <v>303</v>
      </c>
      <c r="K1304" s="41">
        <v>5442</v>
      </c>
    </row>
    <row r="1305" spans="4:11" s="41" customFormat="1">
      <c r="D1305" s="51" t="s">
        <v>314</v>
      </c>
      <c r="E1305" s="44"/>
      <c r="F1305" s="44"/>
      <c r="G1305" s="41">
        <v>5443</v>
      </c>
      <c r="H1305" s="45">
        <f t="shared" si="99"/>
        <v>1</v>
      </c>
      <c r="I1305" s="47" t="s">
        <v>350</v>
      </c>
      <c r="J1305" s="48" t="s">
        <v>303</v>
      </c>
      <c r="K1305" s="41">
        <v>5443</v>
      </c>
    </row>
    <row r="1306" spans="4:11" s="41" customFormat="1">
      <c r="D1306" s="51" t="s">
        <v>313</v>
      </c>
      <c r="E1306" s="44"/>
      <c r="F1306" s="44"/>
      <c r="G1306" s="41">
        <v>5444</v>
      </c>
      <c r="H1306" s="45">
        <f t="shared" si="99"/>
        <v>1</v>
      </c>
      <c r="I1306" s="47" t="s">
        <v>350</v>
      </c>
      <c r="J1306" s="48" t="s">
        <v>303</v>
      </c>
      <c r="K1306" s="41">
        <v>5444</v>
      </c>
    </row>
    <row r="1307" spans="4:11" s="41" customFormat="1">
      <c r="D1307" s="51" t="s">
        <v>415</v>
      </c>
      <c r="E1307" s="44"/>
      <c r="F1307" s="44"/>
      <c r="G1307" s="41">
        <v>5445</v>
      </c>
      <c r="H1307" s="45">
        <f t="shared" ref="H1307:H1338" si="100">K1307-G1307+1</f>
        <v>2</v>
      </c>
      <c r="I1307" s="47" t="s">
        <v>350</v>
      </c>
      <c r="J1307" s="48" t="s">
        <v>10</v>
      </c>
      <c r="K1307" s="41">
        <v>5446</v>
      </c>
    </row>
    <row r="1308" spans="4:11" s="41" customFormat="1">
      <c r="D1308" s="51" t="s">
        <v>414</v>
      </c>
      <c r="E1308" s="44"/>
      <c r="F1308" s="44"/>
      <c r="G1308" s="41">
        <v>5447</v>
      </c>
      <c r="H1308" s="45">
        <f t="shared" si="100"/>
        <v>2</v>
      </c>
      <c r="I1308" s="47" t="s">
        <v>350</v>
      </c>
      <c r="J1308" s="48" t="s">
        <v>403</v>
      </c>
      <c r="K1308" s="41">
        <v>5448</v>
      </c>
    </row>
    <row r="1309" spans="4:11" s="41" customFormat="1">
      <c r="D1309" s="51" t="s">
        <v>302</v>
      </c>
      <c r="E1309" s="44"/>
      <c r="F1309" s="44"/>
      <c r="G1309" s="41">
        <v>5449</v>
      </c>
      <c r="H1309" s="45">
        <f t="shared" si="100"/>
        <v>2</v>
      </c>
      <c r="I1309" s="47" t="s">
        <v>350</v>
      </c>
      <c r="J1309" s="48" t="s">
        <v>303</v>
      </c>
      <c r="K1309" s="41">
        <v>5450</v>
      </c>
    </row>
    <row r="1310" spans="4:11" s="41" customFormat="1">
      <c r="D1310" s="51" t="s">
        <v>316</v>
      </c>
      <c r="E1310" s="44"/>
      <c r="F1310" s="44"/>
      <c r="G1310" s="41">
        <v>5451</v>
      </c>
      <c r="H1310" s="45">
        <f t="shared" si="100"/>
        <v>1</v>
      </c>
      <c r="I1310" s="47" t="s">
        <v>350</v>
      </c>
      <c r="J1310" s="48" t="s">
        <v>303</v>
      </c>
      <c r="K1310" s="41">
        <v>5451</v>
      </c>
    </row>
    <row r="1311" spans="4:11" s="41" customFormat="1">
      <c r="D1311" s="51" t="s">
        <v>315</v>
      </c>
      <c r="E1311" s="44"/>
      <c r="F1311" s="44"/>
      <c r="G1311" s="41">
        <v>5452</v>
      </c>
      <c r="H1311" s="45">
        <f t="shared" si="100"/>
        <v>1</v>
      </c>
      <c r="I1311" s="47" t="s">
        <v>350</v>
      </c>
      <c r="J1311" s="48" t="s">
        <v>303</v>
      </c>
      <c r="K1311" s="41">
        <v>5452</v>
      </c>
    </row>
    <row r="1312" spans="4:11" s="41" customFormat="1">
      <c r="D1312" s="51" t="s">
        <v>314</v>
      </c>
      <c r="E1312" s="44"/>
      <c r="F1312" s="44"/>
      <c r="G1312" s="41">
        <v>5453</v>
      </c>
      <c r="H1312" s="45">
        <f t="shared" si="100"/>
        <v>1</v>
      </c>
      <c r="I1312" s="47" t="s">
        <v>350</v>
      </c>
      <c r="J1312" s="48" t="s">
        <v>303</v>
      </c>
      <c r="K1312" s="41">
        <v>5453</v>
      </c>
    </row>
    <row r="1313" spans="4:11" s="41" customFormat="1">
      <c r="D1313" s="51" t="s">
        <v>313</v>
      </c>
      <c r="E1313" s="44"/>
      <c r="F1313" s="44"/>
      <c r="G1313" s="41">
        <v>5454</v>
      </c>
      <c r="H1313" s="45">
        <f t="shared" si="100"/>
        <v>1</v>
      </c>
      <c r="I1313" s="47" t="s">
        <v>350</v>
      </c>
      <c r="J1313" s="48" t="s">
        <v>303</v>
      </c>
      <c r="K1313" s="41">
        <v>5454</v>
      </c>
    </row>
    <row r="1314" spans="4:11" s="41" customFormat="1">
      <c r="D1314" s="51" t="s">
        <v>413</v>
      </c>
      <c r="E1314" s="44"/>
      <c r="F1314" s="44"/>
      <c r="G1314" s="41">
        <v>5455</v>
      </c>
      <c r="H1314" s="45">
        <f t="shared" si="100"/>
        <v>2</v>
      </c>
      <c r="I1314" s="47" t="s">
        <v>350</v>
      </c>
      <c r="J1314" s="48" t="s">
        <v>10</v>
      </c>
      <c r="K1314" s="41">
        <v>5456</v>
      </c>
    </row>
    <row r="1315" spans="4:11" s="41" customFormat="1">
      <c r="D1315" s="51" t="s">
        <v>412</v>
      </c>
      <c r="E1315" s="44"/>
      <c r="F1315" s="44"/>
      <c r="G1315" s="41">
        <v>5457</v>
      </c>
      <c r="H1315" s="45">
        <f t="shared" si="100"/>
        <v>2</v>
      </c>
      <c r="I1315" s="47" t="s">
        <v>350</v>
      </c>
      <c r="J1315" s="48" t="s">
        <v>403</v>
      </c>
      <c r="K1315" s="41">
        <v>5458</v>
      </c>
    </row>
    <row r="1316" spans="4:11" s="41" customFormat="1">
      <c r="D1316" s="51" t="s">
        <v>302</v>
      </c>
      <c r="E1316" s="44"/>
      <c r="F1316" s="44"/>
      <c r="G1316" s="41">
        <v>5459</v>
      </c>
      <c r="H1316" s="45">
        <f t="shared" si="100"/>
        <v>2</v>
      </c>
      <c r="I1316" s="47" t="s">
        <v>350</v>
      </c>
      <c r="J1316" s="48" t="s">
        <v>303</v>
      </c>
      <c r="K1316" s="41">
        <v>5460</v>
      </c>
    </row>
    <row r="1317" spans="4:11" s="41" customFormat="1">
      <c r="D1317" s="51" t="s">
        <v>316</v>
      </c>
      <c r="E1317" s="44"/>
      <c r="F1317" s="44"/>
      <c r="G1317" s="41">
        <v>5461</v>
      </c>
      <c r="H1317" s="45">
        <f t="shared" si="100"/>
        <v>1</v>
      </c>
      <c r="I1317" s="47" t="s">
        <v>350</v>
      </c>
      <c r="J1317" s="48" t="s">
        <v>303</v>
      </c>
      <c r="K1317" s="41">
        <v>5461</v>
      </c>
    </row>
    <row r="1318" spans="4:11" s="41" customFormat="1">
      <c r="D1318" s="51" t="s">
        <v>315</v>
      </c>
      <c r="E1318" s="44"/>
      <c r="F1318" s="44"/>
      <c r="G1318" s="41">
        <v>5462</v>
      </c>
      <c r="H1318" s="45">
        <f t="shared" si="100"/>
        <v>1</v>
      </c>
      <c r="I1318" s="47" t="s">
        <v>350</v>
      </c>
      <c r="J1318" s="48" t="s">
        <v>303</v>
      </c>
      <c r="K1318" s="41">
        <v>5462</v>
      </c>
    </row>
    <row r="1319" spans="4:11" s="41" customFormat="1">
      <c r="D1319" s="51" t="s">
        <v>314</v>
      </c>
      <c r="E1319" s="44"/>
      <c r="F1319" s="44"/>
      <c r="G1319" s="41">
        <v>5463</v>
      </c>
      <c r="H1319" s="45">
        <f t="shared" si="100"/>
        <v>1</v>
      </c>
      <c r="I1319" s="47" t="s">
        <v>350</v>
      </c>
      <c r="J1319" s="48" t="s">
        <v>303</v>
      </c>
      <c r="K1319" s="41">
        <v>5463</v>
      </c>
    </row>
    <row r="1320" spans="4:11" s="41" customFormat="1">
      <c r="D1320" s="51" t="s">
        <v>313</v>
      </c>
      <c r="E1320" s="44"/>
      <c r="F1320" s="44"/>
      <c r="G1320" s="41">
        <v>5464</v>
      </c>
      <c r="H1320" s="45">
        <f t="shared" si="100"/>
        <v>1</v>
      </c>
      <c r="I1320" s="47" t="s">
        <v>350</v>
      </c>
      <c r="J1320" s="48" t="s">
        <v>303</v>
      </c>
      <c r="K1320" s="41">
        <v>5464</v>
      </c>
    </row>
    <row r="1321" spans="4:11" s="41" customFormat="1">
      <c r="D1321" s="51" t="s">
        <v>411</v>
      </c>
      <c r="E1321" s="44"/>
      <c r="F1321" s="44"/>
      <c r="G1321" s="41">
        <v>5465</v>
      </c>
      <c r="H1321" s="45">
        <f t="shared" si="100"/>
        <v>2</v>
      </c>
      <c r="I1321" s="47" t="s">
        <v>350</v>
      </c>
      <c r="J1321" s="48" t="s">
        <v>10</v>
      </c>
      <c r="K1321" s="41">
        <v>5466</v>
      </c>
    </row>
    <row r="1322" spans="4:11" s="41" customFormat="1">
      <c r="D1322" s="51" t="s">
        <v>410</v>
      </c>
      <c r="E1322" s="44"/>
      <c r="F1322" s="44"/>
      <c r="G1322" s="41">
        <v>5467</v>
      </c>
      <c r="H1322" s="45">
        <f t="shared" si="100"/>
        <v>2</v>
      </c>
      <c r="I1322" s="47" t="s">
        <v>350</v>
      </c>
      <c r="J1322" s="48" t="s">
        <v>403</v>
      </c>
      <c r="K1322" s="41">
        <v>5468</v>
      </c>
    </row>
    <row r="1323" spans="4:11" s="41" customFormat="1">
      <c r="D1323" s="51" t="s">
        <v>302</v>
      </c>
      <c r="E1323" s="44"/>
      <c r="F1323" s="44"/>
      <c r="G1323" s="41">
        <v>5469</v>
      </c>
      <c r="H1323" s="45">
        <f t="shared" si="100"/>
        <v>2</v>
      </c>
      <c r="I1323" s="47" t="s">
        <v>350</v>
      </c>
      <c r="J1323" s="48" t="s">
        <v>303</v>
      </c>
      <c r="K1323" s="41">
        <v>5470</v>
      </c>
    </row>
    <row r="1324" spans="4:11" s="41" customFormat="1">
      <c r="D1324" s="51" t="s">
        <v>316</v>
      </c>
      <c r="E1324" s="44"/>
      <c r="F1324" s="44"/>
      <c r="G1324" s="41">
        <v>5471</v>
      </c>
      <c r="H1324" s="45">
        <f t="shared" si="100"/>
        <v>1</v>
      </c>
      <c r="I1324" s="47" t="s">
        <v>350</v>
      </c>
      <c r="J1324" s="48" t="s">
        <v>303</v>
      </c>
      <c r="K1324" s="41">
        <v>5471</v>
      </c>
    </row>
    <row r="1325" spans="4:11" s="41" customFormat="1">
      <c r="D1325" s="51" t="s">
        <v>315</v>
      </c>
      <c r="E1325" s="44"/>
      <c r="F1325" s="44"/>
      <c r="G1325" s="41">
        <v>5472</v>
      </c>
      <c r="H1325" s="45">
        <f t="shared" si="100"/>
        <v>1</v>
      </c>
      <c r="I1325" s="47" t="s">
        <v>350</v>
      </c>
      <c r="J1325" s="48" t="s">
        <v>303</v>
      </c>
      <c r="K1325" s="41">
        <v>5472</v>
      </c>
    </row>
    <row r="1326" spans="4:11" s="41" customFormat="1">
      <c r="D1326" s="51" t="s">
        <v>314</v>
      </c>
      <c r="E1326" s="44"/>
      <c r="F1326" s="44"/>
      <c r="G1326" s="41">
        <v>5473</v>
      </c>
      <c r="H1326" s="45">
        <f t="shared" si="100"/>
        <v>1</v>
      </c>
      <c r="I1326" s="47" t="s">
        <v>350</v>
      </c>
      <c r="J1326" s="48" t="s">
        <v>303</v>
      </c>
      <c r="K1326" s="41">
        <v>5473</v>
      </c>
    </row>
    <row r="1327" spans="4:11" s="41" customFormat="1">
      <c r="D1327" s="51" t="s">
        <v>313</v>
      </c>
      <c r="E1327" s="44"/>
      <c r="F1327" s="44"/>
      <c r="G1327" s="41">
        <v>5474</v>
      </c>
      <c r="H1327" s="45">
        <f t="shared" si="100"/>
        <v>1</v>
      </c>
      <c r="I1327" s="47" t="s">
        <v>350</v>
      </c>
      <c r="J1327" s="48" t="s">
        <v>303</v>
      </c>
      <c r="K1327" s="41">
        <v>5474</v>
      </c>
    </row>
    <row r="1328" spans="4:11" s="41" customFormat="1">
      <c r="D1328" s="51" t="s">
        <v>409</v>
      </c>
      <c r="E1328" s="44"/>
      <c r="F1328" s="44"/>
      <c r="G1328" s="41">
        <v>5475</v>
      </c>
      <c r="H1328" s="45">
        <f t="shared" si="100"/>
        <v>2</v>
      </c>
      <c r="I1328" s="47" t="s">
        <v>350</v>
      </c>
      <c r="J1328" s="48" t="s">
        <v>10</v>
      </c>
      <c r="K1328" s="41">
        <v>5476</v>
      </c>
    </row>
    <row r="1329" spans="4:11" s="41" customFormat="1">
      <c r="D1329" s="51" t="s">
        <v>408</v>
      </c>
      <c r="E1329" s="44"/>
      <c r="F1329" s="44"/>
      <c r="G1329" s="41">
        <v>5477</v>
      </c>
      <c r="H1329" s="45">
        <f t="shared" si="100"/>
        <v>2</v>
      </c>
      <c r="I1329" s="47" t="s">
        <v>350</v>
      </c>
      <c r="J1329" s="48" t="s">
        <v>403</v>
      </c>
      <c r="K1329" s="41">
        <v>5478</v>
      </c>
    </row>
    <row r="1330" spans="4:11" s="41" customFormat="1">
      <c r="D1330" s="51" t="s">
        <v>302</v>
      </c>
      <c r="E1330" s="44"/>
      <c r="F1330" s="44"/>
      <c r="G1330" s="41">
        <v>5479</v>
      </c>
      <c r="H1330" s="45">
        <f t="shared" si="100"/>
        <v>2</v>
      </c>
      <c r="I1330" s="47" t="s">
        <v>350</v>
      </c>
      <c r="J1330" s="48" t="s">
        <v>303</v>
      </c>
      <c r="K1330" s="41">
        <v>5480</v>
      </c>
    </row>
    <row r="1331" spans="4:11" s="41" customFormat="1">
      <c r="D1331" s="51" t="s">
        <v>316</v>
      </c>
      <c r="E1331" s="44"/>
      <c r="F1331" s="44"/>
      <c r="G1331" s="41">
        <v>5481</v>
      </c>
      <c r="H1331" s="45">
        <f t="shared" si="100"/>
        <v>1</v>
      </c>
      <c r="I1331" s="47" t="s">
        <v>350</v>
      </c>
      <c r="J1331" s="48" t="s">
        <v>303</v>
      </c>
      <c r="K1331" s="41">
        <v>5481</v>
      </c>
    </row>
    <row r="1332" spans="4:11" s="41" customFormat="1">
      <c r="D1332" s="51" t="s">
        <v>315</v>
      </c>
      <c r="E1332" s="44"/>
      <c r="F1332" s="44"/>
      <c r="G1332" s="41">
        <v>5482</v>
      </c>
      <c r="H1332" s="45">
        <f t="shared" si="100"/>
        <v>1</v>
      </c>
      <c r="I1332" s="47" t="s">
        <v>350</v>
      </c>
      <c r="J1332" s="48" t="s">
        <v>303</v>
      </c>
      <c r="K1332" s="41">
        <v>5482</v>
      </c>
    </row>
    <row r="1333" spans="4:11" s="41" customFormat="1">
      <c r="D1333" s="51" t="s">
        <v>314</v>
      </c>
      <c r="E1333" s="44"/>
      <c r="F1333" s="44"/>
      <c r="G1333" s="41">
        <v>5483</v>
      </c>
      <c r="H1333" s="45">
        <f t="shared" si="100"/>
        <v>1</v>
      </c>
      <c r="I1333" s="47" t="s">
        <v>350</v>
      </c>
      <c r="J1333" s="48" t="s">
        <v>303</v>
      </c>
      <c r="K1333" s="41">
        <v>5483</v>
      </c>
    </row>
    <row r="1334" spans="4:11" s="41" customFormat="1">
      <c r="D1334" s="51" t="s">
        <v>313</v>
      </c>
      <c r="E1334" s="44"/>
      <c r="F1334" s="44"/>
      <c r="G1334" s="41">
        <v>5484</v>
      </c>
      <c r="H1334" s="45">
        <f t="shared" si="100"/>
        <v>1</v>
      </c>
      <c r="I1334" s="47" t="s">
        <v>350</v>
      </c>
      <c r="J1334" s="48" t="s">
        <v>303</v>
      </c>
      <c r="K1334" s="41">
        <v>5484</v>
      </c>
    </row>
    <row r="1335" spans="4:11" s="41" customFormat="1">
      <c r="D1335" s="51" t="s">
        <v>407</v>
      </c>
      <c r="E1335" s="44"/>
      <c r="F1335" s="44"/>
      <c r="G1335" s="41">
        <v>5485</v>
      </c>
      <c r="H1335" s="45">
        <f t="shared" si="100"/>
        <v>2</v>
      </c>
      <c r="I1335" s="47" t="s">
        <v>350</v>
      </c>
      <c r="J1335" s="48" t="s">
        <v>10</v>
      </c>
      <c r="K1335" s="41">
        <v>5486</v>
      </c>
    </row>
    <row r="1336" spans="4:11" s="41" customFormat="1">
      <c r="D1336" s="51" t="s">
        <v>406</v>
      </c>
      <c r="E1336" s="44"/>
      <c r="F1336" s="44"/>
      <c r="G1336" s="41">
        <v>5487</v>
      </c>
      <c r="H1336" s="45">
        <f t="shared" si="100"/>
        <v>2</v>
      </c>
      <c r="I1336" s="47" t="s">
        <v>350</v>
      </c>
      <c r="J1336" s="48" t="s">
        <v>403</v>
      </c>
      <c r="K1336" s="41">
        <v>5488</v>
      </c>
    </row>
    <row r="1337" spans="4:11" s="41" customFormat="1">
      <c r="D1337" s="51" t="s">
        <v>302</v>
      </c>
      <c r="E1337" s="44"/>
      <c r="F1337" s="44"/>
      <c r="G1337" s="41">
        <v>5489</v>
      </c>
      <c r="H1337" s="45">
        <f t="shared" si="100"/>
        <v>2</v>
      </c>
      <c r="I1337" s="47" t="s">
        <v>350</v>
      </c>
      <c r="J1337" s="48" t="s">
        <v>303</v>
      </c>
      <c r="K1337" s="41">
        <v>5490</v>
      </c>
    </row>
    <row r="1338" spans="4:11" s="41" customFormat="1">
      <c r="D1338" s="51" t="s">
        <v>316</v>
      </c>
      <c r="E1338" s="44"/>
      <c r="F1338" s="44"/>
      <c r="G1338" s="41">
        <v>5491</v>
      </c>
      <c r="H1338" s="45">
        <f t="shared" si="100"/>
        <v>1</v>
      </c>
      <c r="I1338" s="47" t="s">
        <v>350</v>
      </c>
      <c r="J1338" s="48" t="s">
        <v>303</v>
      </c>
      <c r="K1338" s="41">
        <v>5491</v>
      </c>
    </row>
    <row r="1339" spans="4:11" s="41" customFormat="1">
      <c r="D1339" s="51" t="s">
        <v>315</v>
      </c>
      <c r="E1339" s="44"/>
      <c r="F1339" s="44"/>
      <c r="G1339" s="41">
        <v>5492</v>
      </c>
      <c r="H1339" s="45">
        <f t="shared" ref="H1339:H1344" si="101">K1339-G1339+1</f>
        <v>1</v>
      </c>
      <c r="I1339" s="47" t="s">
        <v>350</v>
      </c>
      <c r="J1339" s="48" t="s">
        <v>303</v>
      </c>
      <c r="K1339" s="41">
        <v>5492</v>
      </c>
    </row>
    <row r="1340" spans="4:11" s="41" customFormat="1">
      <c r="D1340" s="51" t="s">
        <v>314</v>
      </c>
      <c r="E1340" s="44"/>
      <c r="F1340" s="44"/>
      <c r="G1340" s="41">
        <v>5493</v>
      </c>
      <c r="H1340" s="45">
        <f t="shared" si="101"/>
        <v>1</v>
      </c>
      <c r="I1340" s="47" t="s">
        <v>350</v>
      </c>
      <c r="J1340" s="48" t="s">
        <v>303</v>
      </c>
      <c r="K1340" s="41">
        <v>5493</v>
      </c>
    </row>
    <row r="1341" spans="4:11" s="41" customFormat="1">
      <c r="D1341" s="51" t="s">
        <v>313</v>
      </c>
      <c r="E1341" s="44"/>
      <c r="F1341" s="44"/>
      <c r="G1341" s="41">
        <v>5494</v>
      </c>
      <c r="H1341" s="45">
        <f t="shared" si="101"/>
        <v>1</v>
      </c>
      <c r="I1341" s="47" t="s">
        <v>350</v>
      </c>
      <c r="J1341" s="48" t="s">
        <v>303</v>
      </c>
      <c r="K1341" s="41">
        <v>5494</v>
      </c>
    </row>
    <row r="1342" spans="4:11" s="41" customFormat="1">
      <c r="D1342" s="51" t="s">
        <v>405</v>
      </c>
      <c r="E1342" s="44"/>
      <c r="F1342" s="44"/>
      <c r="G1342" s="41">
        <v>5495</v>
      </c>
      <c r="H1342" s="45">
        <f t="shared" si="101"/>
        <v>2</v>
      </c>
      <c r="I1342" s="47" t="s">
        <v>350</v>
      </c>
      <c r="J1342" s="48" t="s">
        <v>10</v>
      </c>
      <c r="K1342" s="41">
        <v>5496</v>
      </c>
    </row>
    <row r="1343" spans="4:11" s="41" customFormat="1">
      <c r="D1343" s="51" t="s">
        <v>404</v>
      </c>
      <c r="E1343" s="44"/>
      <c r="F1343" s="44"/>
      <c r="G1343" s="41">
        <v>5497</v>
      </c>
      <c r="H1343" s="45">
        <f t="shared" si="101"/>
        <v>2</v>
      </c>
      <c r="I1343" s="47" t="s">
        <v>350</v>
      </c>
      <c r="J1343" s="48" t="s">
        <v>403</v>
      </c>
      <c r="K1343" s="41">
        <v>5498</v>
      </c>
    </row>
    <row r="1344" spans="4:11" s="41" customFormat="1">
      <c r="D1344" s="51" t="s">
        <v>302</v>
      </c>
      <c r="E1344" s="44"/>
      <c r="F1344" s="44"/>
      <c r="G1344" s="41">
        <v>5499</v>
      </c>
      <c r="H1344" s="45">
        <f t="shared" si="101"/>
        <v>1</v>
      </c>
      <c r="I1344" s="47" t="s">
        <v>350</v>
      </c>
      <c r="J1344" s="48" t="s">
        <v>303</v>
      </c>
      <c r="K1344" s="41">
        <v>5499</v>
      </c>
    </row>
    <row r="1345" spans="1:12" s="41" customFormat="1">
      <c r="D1345" s="51"/>
      <c r="E1345" s="44"/>
      <c r="F1345" s="44"/>
      <c r="H1345" s="44"/>
      <c r="I1345" s="44"/>
      <c r="J1345" s="44"/>
    </row>
    <row r="1346" spans="1:12" s="43" customFormat="1">
      <c r="A1346" s="42"/>
      <c r="B1346" s="42" t="s">
        <v>402</v>
      </c>
      <c r="C1346" s="42" t="s">
        <v>401</v>
      </c>
      <c r="D1346" s="54"/>
      <c r="E1346" s="46"/>
      <c r="F1346" s="46"/>
      <c r="G1346" s="42"/>
      <c r="H1346" s="45"/>
      <c r="I1346" s="46"/>
      <c r="J1346" s="46"/>
      <c r="K1346" s="42"/>
      <c r="L1346" s="42"/>
    </row>
    <row r="1347" spans="1:12" s="41" customFormat="1">
      <c r="D1347" s="51" t="s">
        <v>400</v>
      </c>
      <c r="E1347" s="44"/>
      <c r="F1347" s="44"/>
      <c r="G1347" s="41">
        <v>6001</v>
      </c>
      <c r="H1347" s="45">
        <f>K1347-G1347+1</f>
        <v>2</v>
      </c>
      <c r="I1347" s="47" t="s">
        <v>350</v>
      </c>
      <c r="J1347" s="48" t="s">
        <v>303</v>
      </c>
      <c r="K1347" s="41">
        <v>6002</v>
      </c>
    </row>
    <row r="1348" spans="1:12" s="41" customFormat="1">
      <c r="D1348" s="51" t="s">
        <v>399</v>
      </c>
      <c r="E1348" s="44"/>
      <c r="F1348" s="44"/>
      <c r="G1348" s="41">
        <v>6003</v>
      </c>
      <c r="H1348" s="45">
        <f>K1348-G1348+1</f>
        <v>2</v>
      </c>
      <c r="I1348" s="47" t="s">
        <v>350</v>
      </c>
      <c r="J1348" s="48" t="s">
        <v>303</v>
      </c>
      <c r="K1348" s="41">
        <v>6004</v>
      </c>
    </row>
    <row r="1349" spans="1:12" s="41" customFormat="1">
      <c r="A1349" s="38"/>
      <c r="D1349" s="53"/>
      <c r="E1349" s="47"/>
      <c r="F1349" s="47"/>
      <c r="H1349" s="44"/>
      <c r="I1349" s="47"/>
      <c r="J1349" s="48"/>
      <c r="L1349" s="40"/>
    </row>
    <row r="1350" spans="1:12" s="41" customFormat="1">
      <c r="A1350" s="38"/>
      <c r="D1350" s="53"/>
      <c r="E1350" s="47"/>
      <c r="F1350" s="47"/>
      <c r="H1350" s="44"/>
      <c r="I1350" s="47"/>
      <c r="J1350" s="48"/>
      <c r="L1350" s="40"/>
    </row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ThisWorkbook.OutText">
                <anchor moveWithCells="1" sizeWithCells="1">
                  <from>
                    <xdr:col>13</xdr:col>
                    <xdr:colOff>419100</xdr:colOff>
                    <xdr:row>0</xdr:row>
                    <xdr:rowOff>57150</xdr:rowOff>
                  </from>
                  <to>
                    <xdr:col>15</xdr:col>
                    <xdr:colOff>28575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isWorkbook.OutText">
                <anchor moveWithCells="1" sizeWithCells="1">
                  <from>
                    <xdr:col>1</xdr:col>
                    <xdr:colOff>781050</xdr:colOff>
                    <xdr:row>0</xdr:row>
                    <xdr:rowOff>66675</xdr:rowOff>
                  </from>
                  <to>
                    <xdr:col>1</xdr:col>
                    <xdr:colOff>1771650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ACB125</vt:lpstr>
      <vt:lpstr>space</vt:lpstr>
      <vt:lpstr>decode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Gao, Fei (RC-CN EM ST)</dc:creator>
  <cp:lastModifiedBy>Gao, Fei (RC-CN SI MAC)</cp:lastModifiedBy>
  <dcterms:created xsi:type="dcterms:W3CDTF">2020-05-27T06:56:21Z</dcterms:created>
  <dcterms:modified xsi:type="dcterms:W3CDTF">2021-10-27T07:25:36Z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f75f480-7803-4ee9-bb54-84d0635fdbe7_Enabled">
    <vt:lpwstr>true</vt:lpwstr>
  </property>
  <property fmtid="{D5CDD505-2E9C-101B-9397-08002B2CF9AE}" pid="3" name="MSIP_Label_6f75f480-7803-4ee9-bb54-84d0635fdbe7_SetDate">
    <vt:lpwstr>2021-10-27T07:25:36Z</vt:lpwstr>
  </property>
  <property fmtid="{D5CDD505-2E9C-101B-9397-08002B2CF9AE}" pid="4" name="MSIP_Label_6f75f480-7803-4ee9-bb54-84d0635fdbe7_Method">
    <vt:lpwstr>Privileged</vt:lpwstr>
  </property>
  <property fmtid="{D5CDD505-2E9C-101B-9397-08002B2CF9AE}" pid="5" name="MSIP_Label_6f75f480-7803-4ee9-bb54-84d0635fdbe7_Name">
    <vt:lpwstr>unrestricted</vt:lpwstr>
  </property>
  <property fmtid="{D5CDD505-2E9C-101B-9397-08002B2CF9AE}" pid="6" name="MSIP_Label_6f75f480-7803-4ee9-bb54-84d0635fdbe7_SiteId">
    <vt:lpwstr>38ae3bcd-9579-4fd4-adda-b42e1495d55a</vt:lpwstr>
  </property>
  <property fmtid="{D5CDD505-2E9C-101B-9397-08002B2CF9AE}" pid="7" name="MSIP_Label_6f75f480-7803-4ee9-bb54-84d0635fdbe7_ActionId">
    <vt:lpwstr>d9a46227-0196-471f-85dd-9d84a6030eee</vt:lpwstr>
  </property>
  <property fmtid="{D5CDD505-2E9C-101B-9397-08002B2CF9AE}" pid="8" name="MSIP_Label_6f75f480-7803-4ee9-bb54-84d0635fdbe7_ContentBits">
    <vt:lpwstr>0</vt:lpwstr>
  </property>
  <property fmtid="{D5CDD505-2E9C-101B-9397-08002B2CF9AE}" pid="9" name="Document_Confidentiality">
    <vt:lpwstr>Unrestricted</vt:lpwstr>
  </property>
</Properties>
</file>